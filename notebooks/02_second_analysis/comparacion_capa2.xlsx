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upm365-my.sharepoint.com/personal/javier_mtutasig_upm_es/Documents/Doctorado/03_TESIS/01_Analisis_herramientas_LF/02_Herramientas_lectura_facil/01_analisis/"/>
    </mc:Choice>
  </mc:AlternateContent>
  <xr:revisionPtr revIDLastSave="96" documentId="11_F25DC773A252ABDACC104806291953BA5ADE58F5" xr6:coauthVersionLast="47" xr6:coauthVersionMax="47" xr10:uidLastSave="{A12480EA-1C0A-4467-A46F-59A39357367B}"/>
  <bookViews>
    <workbookView xWindow="-28920" yWindow="-705" windowWidth="29040" windowHeight="16440" tabRatio="855" activeTab="14" xr2:uid="{00000000-000D-0000-FFFF-FFFF00000000}"/>
  </bookViews>
  <sheets>
    <sheet name="Matriz comparativa" sheetId="2" r:id="rId1"/>
    <sheet name="Hoja1" sheetId="27" r:id="rId2"/>
    <sheet name="Check-list" sheetId="6" r:id="rId3"/>
    <sheet name="1" sheetId="28" r:id="rId4"/>
    <sheet name="2" sheetId="29" r:id="rId5"/>
    <sheet name="3" sheetId="30" r:id="rId6"/>
    <sheet name="4" sheetId="31" r:id="rId7"/>
    <sheet name="5" sheetId="32" r:id="rId8"/>
    <sheet name="6" sheetId="33" r:id="rId9"/>
    <sheet name="7" sheetId="34" r:id="rId10"/>
    <sheet name="8" sheetId="35" r:id="rId11"/>
    <sheet name="9" sheetId="36" r:id="rId12"/>
    <sheet name="10" sheetId="37" r:id="rId13"/>
    <sheet name="11" sheetId="38" r:id="rId14"/>
    <sheet name="12" sheetId="39"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2" l="1"/>
  <c r="M2" i="2"/>
  <c r="L2" i="2"/>
  <c r="K2" i="2"/>
  <c r="D9" i="39"/>
  <c r="D9" i="38"/>
  <c r="D9" i="37"/>
  <c r="D9" i="36"/>
  <c r="J2" i="2"/>
  <c r="D9" i="35"/>
  <c r="H2" i="2"/>
  <c r="G2" i="2"/>
  <c r="D9" i="34"/>
  <c r="I2" i="2" s="1"/>
  <c r="D9" i="33"/>
  <c r="D9" i="32"/>
  <c r="F2" i="2"/>
  <c r="E2" i="2"/>
  <c r="D2" i="2"/>
  <c r="D9" i="31"/>
  <c r="F9" i="30"/>
  <c r="D9" i="30"/>
  <c r="F9" i="29"/>
  <c r="D9" i="29"/>
  <c r="C2" i="2"/>
  <c r="D9" i="28"/>
  <c r="F9" i="28"/>
  <c r="F2" i="27"/>
  <c r="E2" i="27"/>
  <c r="D2" i="27"/>
  <c r="C2" i="27"/>
  <c r="B2" i="27"/>
  <c r="A2" i="27"/>
  <c r="F9" i="6" l="1"/>
  <c r="F3" i="27" l="1"/>
  <c r="E3" i="27"/>
  <c r="A3" i="27"/>
  <c r="B3" i="27"/>
  <c r="C3" i="27"/>
  <c r="D3"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Prestamo Administrador</author>
  </authors>
  <commentList>
    <comment ref="M4" authorId="0" shapeId="0" xr:uid="{7AFBA104-2CE5-4050-9E10-2AC7D476395D}">
      <text>
        <r>
          <rPr>
            <b/>
            <sz val="9"/>
            <color indexed="81"/>
            <rFont val="Tahoma"/>
          </rPr>
          <t>Prestamo Administrador:</t>
        </r>
        <r>
          <rPr>
            <sz val="9"/>
            <color indexed="81"/>
            <rFont val="Tahoma"/>
          </rPr>
          <t xml:space="preserve">
No tiene titulo
</t>
        </r>
      </text>
    </comment>
    <comment ref="F5" authorId="0" shapeId="0" xr:uid="{022CBEF3-EEE1-426D-AE6B-CCCD68604541}">
      <text>
        <r>
          <rPr>
            <b/>
            <sz val="9"/>
            <color indexed="81"/>
            <rFont val="Tahoma"/>
          </rPr>
          <t>Prestamo Administrador:</t>
        </r>
        <r>
          <rPr>
            <sz val="9"/>
            <color indexed="81"/>
            <rFont val="Tahoma"/>
          </rPr>
          <t xml:space="preserve">
Se pierde idea de quien es responsable</t>
        </r>
      </text>
    </comment>
    <comment ref="G5" authorId="0" shapeId="0" xr:uid="{44DCEF4D-309B-4C47-A41D-B2B191C9A89F}">
      <text>
        <r>
          <rPr>
            <b/>
            <sz val="9"/>
            <color indexed="81"/>
            <rFont val="Tahoma"/>
          </rPr>
          <t>Prestamo Administrador:</t>
        </r>
        <r>
          <rPr>
            <sz val="9"/>
            <color indexed="81"/>
            <rFont val="Tahoma"/>
          </rPr>
          <t xml:space="preserve">
olvida el grupo de ontologia
</t>
        </r>
      </text>
    </comment>
    <comment ref="F6" authorId="0" shapeId="0" xr:uid="{2167DC63-4C74-4BA3-BCD1-0BAA97D68AD0}">
      <text>
        <r>
          <rPr>
            <b/>
            <sz val="9"/>
            <color indexed="81"/>
            <rFont val="Tahoma"/>
          </rPr>
          <t>Prestamo Administrador:</t>
        </r>
        <r>
          <rPr>
            <sz val="9"/>
            <color indexed="81"/>
            <rFont val="Tahoma"/>
          </rPr>
          <t xml:space="preserve">
Cambia el significado. A sume que tus datos son directos para la investigación.
</t>
        </r>
      </text>
    </comment>
    <comment ref="M6" authorId="0" shapeId="0" xr:uid="{C3AD0153-994D-4DFC-A49E-A1BECA0EFBE0}">
      <text>
        <r>
          <rPr>
            <b/>
            <sz val="9"/>
            <color indexed="81"/>
            <rFont val="Tahoma"/>
          </rPr>
          <t>Prestamo Administrador:</t>
        </r>
        <r>
          <rPr>
            <sz val="9"/>
            <color indexed="81"/>
            <rFont val="Tahoma"/>
          </rPr>
          <t xml:space="preserve">
alucinación, en lectura fácil</t>
        </r>
      </text>
    </comment>
    <comment ref="F7" authorId="0" shapeId="0" xr:uid="{6164429E-276C-4B12-97D2-8434609B865F}">
      <text>
        <r>
          <rPr>
            <b/>
            <sz val="9"/>
            <color indexed="81"/>
            <rFont val="Tahoma"/>
          </rPr>
          <t>Prestamo Administrador:</t>
        </r>
        <r>
          <rPr>
            <sz val="9"/>
            <color indexed="81"/>
            <rFont val="Tahoma"/>
          </rPr>
          <t xml:space="preserve">
Cambia el significado</t>
        </r>
      </text>
    </comment>
    <comment ref="G9" authorId="0" shapeId="0" xr:uid="{BD232023-E56F-4BFD-8560-70E76DBDBEC7}">
      <text>
        <r>
          <rPr>
            <b/>
            <sz val="9"/>
            <color indexed="81"/>
            <rFont val="Tahoma"/>
          </rPr>
          <t>Prestamo Administrador:</t>
        </r>
        <r>
          <rPr>
            <sz val="9"/>
            <color indexed="81"/>
            <rFont val="Tahoma"/>
          </rPr>
          <t xml:space="preserve">
Mejora la url, este es un hipervinculo</t>
        </r>
      </text>
    </comment>
    <comment ref="J14" authorId="0" shapeId="0" xr:uid="{06AC37D9-E83E-4944-8CED-FA85B125B31D}">
      <text>
        <r>
          <rPr>
            <b/>
            <sz val="9"/>
            <color indexed="81"/>
            <rFont val="Tahoma"/>
            <family val="2"/>
          </rPr>
          <t>Prestamo Administrador:</t>
        </r>
        <r>
          <rPr>
            <sz val="9"/>
            <color indexed="81"/>
            <rFont val="Tahoma"/>
            <family val="2"/>
          </rPr>
          <t xml:space="preserve">
da un mejor formato a la url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Prestamo Administrador</author>
  </authors>
  <commentList>
    <comment ref="B5" authorId="0" shapeId="0" xr:uid="{508A0533-E4C5-41ED-BB44-2D01AFCBE3D6}">
      <text>
        <r>
          <rPr>
            <b/>
            <sz val="9"/>
            <color indexed="81"/>
            <rFont val="Tahoma"/>
            <family val="2"/>
          </rPr>
          <t>Prestamo Administrador:</t>
        </r>
        <r>
          <rPr>
            <sz val="9"/>
            <color indexed="81"/>
            <rFont val="Tahoma"/>
            <family val="2"/>
          </rPr>
          <t xml:space="preserve">
cambia quien es el responsable
</t>
        </r>
      </text>
    </comment>
    <comment ref="B6" authorId="0" shapeId="0" xr:uid="{4FD2A05A-CDC1-4219-914D-295D3B51B9B7}">
      <text>
        <r>
          <rPr>
            <b/>
            <sz val="9"/>
            <color indexed="81"/>
            <rFont val="Tahoma"/>
            <family val="2"/>
          </rPr>
          <t>Prestamo Administrador:</t>
        </r>
        <r>
          <rPr>
            <sz val="9"/>
            <color indexed="81"/>
            <rFont val="Tahoma"/>
            <family val="2"/>
          </rPr>
          <t xml:space="preserve">
Especifica qu van a usar ya información por la upm</t>
        </r>
      </text>
    </comment>
    <comment ref="C6" authorId="0" shapeId="0" xr:uid="{4F825E7D-E155-4268-B273-461ABC6FAD83}">
      <text>
        <r>
          <rPr>
            <b/>
            <sz val="9"/>
            <color indexed="81"/>
            <rFont val="Tahoma"/>
            <family val="2"/>
          </rPr>
          <t>Prestamo Administrador:</t>
        </r>
        <r>
          <rPr>
            <sz val="9"/>
            <color indexed="81"/>
            <rFont val="Tahoma"/>
            <family val="2"/>
          </rPr>
          <t xml:space="preserve">
No lo especifica, pero en este caso asume</t>
        </r>
      </text>
    </comment>
    <comment ref="A14" authorId="0" shapeId="0" xr:uid="{7DFB21AC-3DC6-472B-913C-BBB79019619B}">
      <text>
        <r>
          <rPr>
            <b/>
            <sz val="9"/>
            <color indexed="81"/>
            <rFont val="Tahoma"/>
          </rPr>
          <t>Prestamo Administrador:</t>
        </r>
        <r>
          <rPr>
            <sz val="9"/>
            <color indexed="81"/>
            <rFont val="Tahoma"/>
          </rPr>
          <t xml:space="preserve">
secreta por anomino, esto cambia el significado</t>
        </r>
      </text>
    </comment>
  </commentList>
</comments>
</file>

<file path=xl/sharedStrings.xml><?xml version="1.0" encoding="utf-8"?>
<sst xmlns="http://schemas.openxmlformats.org/spreadsheetml/2006/main" count="612" uniqueCount="259">
  <si>
    <t>Sección</t>
  </si>
  <si>
    <t>Original</t>
  </si>
  <si>
    <t>Título</t>
  </si>
  <si>
    <t>FACILE</t>
  </si>
  <si>
    <t>Placea</t>
  </si>
  <si>
    <t>Asistente de lectura fácil “ANTONIO GONZALES CRESPO”</t>
  </si>
  <si>
    <t>#</t>
  </si>
  <si>
    <t>Rol
Actúo como:
Corrector de textos
Especialista en lectura fácil
Adaptador de contenido para accesibilidad cognitiva
Objetivo
Transformar textos para que sean:
Claros
Simples
Fáciles de entender
Visualmente accesibles
Reglas clave que aplico
1. Frases
Máximo 15 palabras
Una idea por frase
Orden: Sujeto + Verbo + Complemento
Uso presente y voz activa
2. Lenguaje
Palabras comunes y concretas
Evito:
tecnicismos
metáforas
sinónimos innecesarios
Uso un término por concepto
3. Estructura
Títulos claros
Listas con viñetas
Información separada por bloques
Nada de párrafos largos
4. Formato visual
Negrita → ideas clave
Subrayado → información importante
Texto alineado a la izquierda
Espacios entre bloques
5. Contenido adicional
Siempre añado:
Glosario (5 palabras difíciles)
5 ideas clave
Resumen final en mayúsculas
Plantilla que puedes usar (muy útil)
Si quieres replicarlo, puedes usar algo como esto:
Actúa como un experto en lectura fácil.
Adapta el texto para que cumpla estas reglas:
- Frases de máximo 15 palabras
- Una idea por frase
- Lenguaje simple y cotidiano
- Sin tecnicismos ni metáforas
- Estructura clara con títulos y listas
Formato:
- Usa negrita para ideas clave
- Usa subrayado para información importante
- Añade:
  - Glosario (5 términos)
  - 5 ideas clave
  - Resumen final en mayúsculas
Mantén el significado original.</t>
  </si>
  <si>
    <t xml:space="preserve">Asistente de lectura fácil “Mark Jonathan Camacho Escatel”: </t>
  </si>
  <si>
    <t>Prompt:
adapta el siguiente texto a lectura fácil:
[TEXTO]</t>
  </si>
  <si>
    <t>🧠 Cómo estoy configurado en esta tarea
Estoy configurado como un asistente especializado en:
📄 Lectura fácil
Mi objetivo es transformar textos complejos en:
Frases cortas
Una idea por frase
Lenguaje sencillo
Sin tecnicismos innecesarios
Orden claro
Explicaciones de palabras difíciles
Estructura muy visual
🎯 Reglas principales que sigo
Cuando adapto un texto:
1. Simplifico el lenguaje
Evito palabras jurídicas complejas
Evito frases largas
Sustituyo términos técnicos por explicaciones simples
2. Divido las ideas
Cada frase tiene una sola idea
Uso muchos apartados y títulos
3. Hago el texto más fácil de entender
Reescribo la información importante
Elimino repeticiones
Mantengo el sentido legal básico
4. Mantengo el contenido legal esencial
Derechos
Obligaciones
Protección de datos
Autorizaciones
5. Evito
Lenguaje académico
Frases pasivas complejas
Estructuras legales largas
Abreviaturas sin explicar
📌 Importante
Aunque el texto cambia mucho, intento que:
No se pierda la información legal importante
El contenido siga siendo fiel al original
Sea más fácil de leer para personas con dificultades cognitivas</t>
  </si>
  <si>
    <t>Gemini 3.1 Pro</t>
  </si>
  <si>
    <t>Información sobre la protección de tus datos</t>
  </si>
  <si>
    <t>1. Instrucciones generales
- Actúa como un experto adaptador de textos a Lectura Fácil.
- Tu tarea es transformar el texto original proporcionado respetando estrictamente el sentido y el carácter del original.
- Debes conservar la información relevante sin incluir opiniones personales o sesgos.
- No incluyas explicaciones sobre los cambios aplicados en la simplificación; genera únicamente el texto adaptado y estructurado.
2. Objetivo general
- El documento resultante debe estar destinado a personas con dificultades de comprensión lectora, como personas con discapacidad intelectual, personas mayores o personas que no dominan el idioma.
- Si el texto aborda la protección de datos, el objetivo primordial es facilitar que el usuario comprenda sus derechos, sepa cómo decidir sobre el uso de sus datos y entienda cómo estos deben protegerse.
3. Signos de puntuación y símbolos
- No debes escribir palabras ni frases con todas sus letras en mayúsculas, excepto cuando se trate de siglas.
- Debes utilizar el punto y aparte para separar frases u oraciones que presenten ideas diferentes.
- Las ideas enlazadas se deberían separar mediante un punto en lugar de una coma.
EJEMPLO:
	Incorrecto: Como ayer estaba lloviendo, Juan cogió el paraguas.
	Correcto: Ayer estaba lloviendo. 
						Por eso, Juan cogió el paraguas.
- No se debe utilizar el punto y coma (;).
- No se debe utilizar etcétera, ni los puntos suspensivos (...). Se puede sustituir por entre otros, y muchos más y otras frases similares.
- Se deberían utilizar los dos puntos (:) cuando se introduce una lista que enumera más de tres elementos.
4. Formato de línea
- Se debe presentar una sola idea principal por línea o bloque.
- No deberían dividirse los sintagmas al cambiar de línea; las palabras accesorias (artículos, preposiciones) que queden al final de una línea deberían pasar al inicio de la siguiente.
EJEMPLO:
Incorrecto:   Juan tiene un coche de
							color rojo.
Correcto:     Juan tiene un coche de color rojo.
Correcto:     Juan tiene un coche  
							de color rojo.
- Siempre que sea posible, si hay varios elementos (como una enumeración de derechos o tareas), se debe utilizar un listado hacia abajo.
5. Léxico
- Se debe utilizar un lenguaje sencillo, claro y de uso frecuente.
- Se deben evitar los adverbios terminados en "-mente".
EJEMPLO:
Incorrecto: Él habla claramente.
Correcto: Él habla muy claro.
- Se deben evitar los superlativos y sustituirlos añadiendo el adverbio "muy" al adjetivo.
- Se debe utilizar a lo largo del texto la misma palabra para denominar el mismo objeto, derecho o referente.
- Glosas: Debería usarse una glosa (explicación) cuando sea necesario incluir palabras técnicas o complejas. La palabra a definir debe ir en negrita, seguida de una explicación sencilla en la siguiente línea y, si es posible, un ejemplo de uso. La glosa debe usarse la primera vez que aparece la palabra o expresión que explica.
6. Números
- Se deberían escribir los números en cifra.
- Se debería evitar el uso de números ordinales y sustituirlos por números cardinales (ej. planta número 18 en vez de decimoctava).
- Se debería evitar el uso de fracciones y porcentajes y sustituirlos por descripciones cualitativas.
EJEMPLO:
Incorrecto: El 25% de la población.
Correcto:   Una de cada cuatro personas.
- Se debería escribir la fecha completa (ej. 12 de abril de 2020) y evitar guiones o barras.
7. Morfosintaxis
- Se deberían utilizar frases sencillas y evitar oraciones complejas o subordinadas excesivas.
- Se debería utilizar el presente de indicativo siempre que sea posible.
- Se debe evitar el uso de la voz pasiva y la pasiva refleja.
EJEMPLO VOZ PASIVA:
Incorrecto: El martillo es usado por Juan en su trabajo.
Correcto: Juan usa el martillo en su trabajo.
EJEMPLO PASIVA REFLEJA:
Incorrecto: Se venden casas.
Correcto: Vendemos casas.
- Se debería evitar en lo posible el uso de oraciones con gerundio.
- Se deberían usar preferentemente oraciones afirmativas. En caso de necesitar una negación, la oración debe ser clara y evitar la doble negación.
- El texto debería dirigirse directamente al lector siempre que sea posible y requiera o explicite una actuación del mismo.  
EJEMPLO: 
Incorrecto: Meter el pollo en el horno a 180°.  
Correcto: Mete el pollo en el horno a 180 grados.
8. Estructura de la información
- Se debe mantener la cohesión y coherencia del texto a lo largo de todo el documento.
- Se debería agrupar la información sobre un mismo tema en bloques de texto separados.
- La redacción de los títulos debería hacer referencia o anticipar la información del contenido del apartado.
TEXTO ORIGINAL A ADAPTAR:
 """
Texto
"""</t>
  </si>
  <si>
    <t>AdaptaTuTexto (Gemini 3.1 Pro)
Muy A2</t>
  </si>
  <si>
    <t>AdaptaTuTexto (Gemini 3.1 Pro)
Facil B1</t>
  </si>
  <si>
    <t>Cada linea de texto tiene una separación adicional. 
Ejemplo:
oración 1
oración 2</t>
  </si>
  <si>
    <t>AdaptaTuTexto (Gemini 3.1 Pro)
Sencillo B2</t>
  </si>
  <si>
    <t>GPT 5.4 Think</t>
  </si>
  <si>
    <t>AdaptaTuTexto (deepseek-v3.2)
Facil B1</t>
  </si>
  <si>
    <t>AdaptaTuTexto (deepseek-v3.2)
Sencillo B2</t>
  </si>
  <si>
    <t>AdaptaTuTexto (deepseek-v3.2)
Muy A2</t>
  </si>
  <si>
    <t>Información sobre protección de datos</t>
  </si>
  <si>
    <t>Cumple (SÍ/NO)</t>
  </si>
  <si>
    <t>Observaciones</t>
  </si>
  <si>
    <t>Total Cumplidos</t>
  </si>
  <si>
    <t>Claude Sonnet 4.6</t>
  </si>
  <si>
    <t>deepseek-v3.2</t>
  </si>
  <si>
    <t>TEXTO ADAPTADO (SALIDA DE CADA HERRAMIENTA DE LF)</t>
  </si>
  <si>
    <t>PROMPT (SI EXISTIERA)</t>
  </si>
  <si>
    <t>MODELO</t>
  </si>
  <si>
    <t>ITERACIONES</t>
  </si>
  <si>
    <t>Check-list</t>
  </si>
  <si>
    <t>TIEMPO DE ADAPTACIÓN [segundos]</t>
  </si>
  <si>
    <t>Sonnet 4.6 Thinking</t>
  </si>
  <si>
    <t>deepseek-v3.4</t>
  </si>
  <si>
    <t>deepseek-v3.3</t>
  </si>
  <si>
    <t>GPT-5.3</t>
  </si>
  <si>
    <t>SimpleText (ClearText)</t>
  </si>
  <si>
    <t>Pesos</t>
  </si>
  <si>
    <t>Categoría</t>
  </si>
  <si>
    <t>Epígrafe</t>
  </si>
  <si>
    <t>Item de Validación</t>
  </si>
  <si>
    <t>Responsable</t>
  </si>
  <si>
    <t>Finalidad</t>
  </si>
  <si>
    <t>Destinatarios</t>
  </si>
  <si>
    <t>Derechos</t>
  </si>
  <si>
    <t>Legitimación</t>
  </si>
  <si>
    <t>Detalle de la Validación</t>
  </si>
  <si>
    <t>Básica (Primera Capa)</t>
  </si>
  <si>
    <t>Evidencia</t>
  </si>
  <si>
    <t>GPT-3.5</t>
  </si>
  <si>
    <t>Procedencia</t>
  </si>
  <si>
    <t>Información sobre protección de datos
Este cuestionario ha sido diseñado de forma que se preserve totalmente su carácter anónimo. No obstante,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</si>
  <si>
    <t>por la Universidad Politécnica de Madrid (Grupo de Ingeniería Ontológica), responsable de este tratamiento,</t>
  </si>
  <si>
    <t xml:space="preserve">que tus datos sean tratados </t>
  </si>
  <si>
    <t>finalidad relacionada con la investigación ya señalada.</t>
  </si>
  <si>
    <t>También te informamos de que puedes acceder, rectificar y suprimir los datos, así como ejercer otros derechos, en los términos que se indican en la información adicional, disponible en el siguiente enlace: "https://oeg.fi.upm.es/protecciondatos.html".</t>
  </si>
  <si>
    <t>Información sobre protección de datos.</t>
  </si>
  <si>
    <t>Información sobre protección de datos.
Se ha diseñado este cuestionario
de forma que se preserve del todo su carácter anónimo.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así como ejercer otros derechos, en los términos que se indican en la información adicional, disponible en el siguiente enlace: "https://oeg.fi.upm.es/protecciondatos.html".</t>
  </si>
  <si>
    <t xml:space="preserve">Información sobre protección de datos
Este cuestionario ha sido diseñado de forma
que se preserve de manera total su
carácter anónimo.
Pero, consideramos oportuno informarte en relación con
nuestra política de privacidad, conforme a lo
establecido en la normativa de protección de
datos de carácter personal.
Si accedes a cumplimentar el cuestionario te
informamos de que consientes que tus datos
sean tratados por la Universidad Politécnica de
Madrid( Grupo de Ingeniería Ontológica), responsable de
este tratamiento, con la finalidad relacionada con
la investigación ya señalada.
También te informamos de que puedes acceder,
rectificar y suprimir los datos, y ejercer
otros derechos, en los términos que se
indican en la información adicional, disponible en
el siguiente enlace que https: //oeg.fi.upm.es/ protecciondatos.html.
 </t>
  </si>
  <si>
    <t>que tus datos
sean tratados por la Universidad Politécnica de
Madrid( Grupo de Ingeniería Ontológica), responsable de
este tratamiento,</t>
  </si>
  <si>
    <t>con la finalidad relacionada con
la investigación ya señalada.</t>
  </si>
  <si>
    <t>de que consientes que tus datos
sean tratados</t>
  </si>
  <si>
    <t>También te informamos de que puedes acceder,
rectificar y suprimir los datos, y ejercer
otros derechos, en los términos que se
indican en la información adicional, disponible en
el siguiente enlace que https: //oeg.fi.upm.es/ protecciondatos.html.</t>
  </si>
  <si>
    <t>INFORMACIÓN SOBRE PROTECCIÓN DE DATOS
Este cuestionario es anónimo. Esto significa que no se sabe quién lo responde. Pero queremos informarte sobre nuestra política de privacidad. Esto es importante según las leyes de protección de datos.
Si decides responder el cuestionario, aceptas que la Universidad Politécnica de Madrid (Grupo de Ingeniería Ontológica) use tus datos. Esto es para la investigación que hemos mencionado.
También puedes acceder, cambiar y borrar tus datos. Tienes otros derechos que puedes ejercer. Para más información, puedes visitar este enlace: "https://oeg.fi.upm.es/protecciondatos.html".</t>
  </si>
  <si>
    <t>INFORMACIÓN SOBRE PROTECCIÓN DE DATOS</t>
  </si>
  <si>
    <t xml:space="preserve">sean tratados por la Universidad Politécnica de Madrid (Grupo de Ingeniería Ontológica), responsable de este tratamiento, </t>
  </si>
  <si>
    <t>aceptas que la Universidad Politécnica de Madrid (Grupo de Ingeniería Ontológica) use tus datos.</t>
  </si>
  <si>
    <t>Esto es para la investigación que hemos mencionado.</t>
  </si>
  <si>
    <t>use tus datos.</t>
  </si>
  <si>
    <t>También puedes acceder, cambiar y borrar tus datos. Tienes otros derechos que puedes ejercer. Para más información, puedes visitar este enlace: "https://oeg.fi.upm.es/protecciondatos.html".</t>
  </si>
  <si>
    <t>Información sobre protección de datos
Este cuestionario es anónimo.
Nadie puede saber quién responde.
La Universidad Politécnica de Madrid usa tus datos para una investigación.
El grupo responsable es el Grupo de Ingeniería Ontológica.
Si completas el cuestionario, aceptas el uso de tus datos para esta investigación.
Tú puedes:
Ver tus datos.
Cambiar tus datos.
Pedir que eliminen tus datos.
Usar otros derechos relacionados con la protección de datos.
Puedes leer más información en este enlace:
https://oeg.fi.upm.es/protecciondatos.html</t>
  </si>
  <si>
    <t>El grupo responsable es el Grupo de Ingeniería Ontológica.</t>
  </si>
  <si>
    <t>La Universidad Politécnica de Madrid usa tus datos para una investigación.</t>
  </si>
  <si>
    <t>usa tus datos para una investigación.</t>
  </si>
  <si>
    <t>Ver tus datos.
Cambiar tus datos.
Pedir que eliminen tus datos.
Usar otros derechos relacionados con la protección de datos.
Puedes leer más información en este enlace:
https://oeg.fi.upm.es/protecciondatos.html</t>
  </si>
  <si>
    <t>Información sobre protección de datos
Este cuestionario es anónimo.
Esto significa que no recogerá información para identificarte.
La información que escribas se usará para una investigación.
La responsable del tratamiento de los datos es la Universidad Politécnica de Madrid.
Si completas el cuestionario, aceptas que tus datos se usen para esta investigación.
Puedes:
Consultar tus datos.
Cambiar tus datos.
Pedir que se eliminen tus datos.
Ejercer otros derechos relacionados con la protección de datos.
Puedes leer más información aquí:
Protección de datos UPM</t>
  </si>
  <si>
    <t>La responsable del tratamiento de los datos es la Universidad Politécnica de Madrid.</t>
  </si>
  <si>
    <t>Si completas el cuestionario, aceptas que tus datos se usen para esta investigación.</t>
  </si>
  <si>
    <t>que tus datos se usen para esta investigación.</t>
  </si>
  <si>
    <t>Puedes:
Consultar tus datos.
Cambiar tus datos.
Pedir que se eliminen tus datos.
Ejercer otros derechos relacionados con la protección de datos.
Puedes leer más información aquí:
Protección de datos UPM</t>
  </si>
  <si>
    <t>Información sobre sus datos.
Esta encuesta es secreta.
Nadie sabe quién responde.
Cumplimos las leyes de datos.
Explicamos cómo usamos su información.
Si usted responde, da su permiso.
La Universidad Politécnica de Madrid usa sus datos.
La Universidad usa los datos para un estudio.
Usted puede ver sus datos.
Usted puede cambiar o borrar sus datos.
Hay más información en esta página web:
https://oeg.fi.upm.es/protecciondatos.html</t>
  </si>
  <si>
    <t>Información sobre sus datos.</t>
  </si>
  <si>
    <t>usa los datos para un estudio.</t>
  </si>
  <si>
    <t xml:space="preserve">usa los datos </t>
  </si>
  <si>
    <t>Usted puede ver sus datos.
Usted puede cambiar o borrar sus datos.
Hay más información en esta página web:
https://oeg.fi.upm.es/protecciondatos.html</t>
  </si>
  <si>
    <t>Información sobre el cuidado de sus datos.
Esta encuesta es anónima.
Nadie sabrá quién ha respondido a las preguntas.
Queremos explicarle cómo cuidamos su información personal.
Cumplimos las leyes de protección de datos (normas para cuidar su información).
Al rellenar la encuesta, usted acepta que usemos sus datos.
La Universidad Politécnica de Madrid usará la información para investigar.
El Grupo de Ingeniería Ontológica es el responsable de este trabajo.
Usted tiene derecho a ver, cambiar o borrar sus datos.
También puede leer más información en una página de internet.
La dirección es oeg.fi.upm.es/protecciondatos.html.</t>
  </si>
  <si>
    <t>Información sobre el cuidado de sus datos.</t>
  </si>
  <si>
    <t>El Grupo de Ingeniería Ontológica es el responsable de este trabajo.</t>
  </si>
  <si>
    <t>Usted tiene derecho a ver, cambiar o borrar sus datos.
También puede leer más información en una página de internet.
La dirección es oeg.fi.upm.es/protecciondatos.html.</t>
  </si>
  <si>
    <t>usemos sus datos.</t>
  </si>
  <si>
    <t>La Universidad Politécnica de Madrid usará la información para investigar.</t>
  </si>
  <si>
    <t>Información sobre la protección de sus datos
Este cuestionario es anónimo. Por tanto, no guardamos su nombre ni sus datos personales. Cumplimos con las leyes actuales de privacidad.
Si rellena las preguntas, acepta que la Universidad Politécnica de Madrid use su información. El Grupo de Ingeniería Ontológica utilizará estos datos para investigar.
Usted tiene derecho a ver, corregir o borrar sus datos personales. Puede encontrar más información en esta página web: https://oeg.fi.upm.es/protecciondatos.html</t>
  </si>
  <si>
    <t>Información sobre la protección de sus datos</t>
  </si>
  <si>
    <t>use su información</t>
  </si>
  <si>
    <t>El Grupo de Ingeniería Ontológica utilizará estos datos para investigar.</t>
  </si>
  <si>
    <t>Usted tiene derecho a ver, corregir o borrar sus datos personales. Puede encontrar más información en esta página web: https://oeg.fi.upm.es/protecciondatos.html</t>
  </si>
  <si>
    <t>Información sobre la protección de tus datos
Este cuestionario es anónimo.
Anónimo
Significa que nadie sabe tu nombre ni quién eres.
Ejemplo: Un examen sin nombre es anónimo.
Nosotros queremos informar sobre nuestra política de privacidad.
Política de privacidad
Son las normas para proteger la información de las personas.
Ejemplo: La universidad usa la política de privacidad para cuidar tu información.
La ley obliga a proteger los datos personales.
Tú decides responder las preguntas.
Con esta acción tú das permiso para usar tus datos.
La Universidad Politécnica de Madrid usa tus datos.
Esta universidad usa tus datos para investigar.
El Grupo de Ingeniería Ontológica es el responsable de tus datos.
Tú tienes derechos sobre tu información personal.
Tú puedes pedir estas cuatro acciones:
Ver tus datos.
Cambiar tus datos.
Borrar tus datos.
Pedir otros derechos.
Tú puedes leer más información sobre tus derechos.
Tú puedes encontrar la información en esta página web:
https://oeg.fi.upm.es/protecciondatos.html</t>
  </si>
  <si>
    <t>usa tus datos</t>
  </si>
  <si>
    <t>El Grupo de Ingeniería Ontológica es el responsable de tus datos.</t>
  </si>
  <si>
    <t>Esta universidad usa tus datos para investigar</t>
  </si>
  <si>
    <t>Tú tienes derechos sobre tu información personal.
Tú puedes pedir estas cuatro acciones:
Ver tus datos.
Cambiar tus datos.
Borrar tus datos.
Pedir otros derechos.
Tú puedes leer más información sobre tus derechos.
Tú puedes encontrar la información en esta página web:
https://oeg.fi.upm.es/protecciondatos.html</t>
  </si>
  <si>
    <t>Información sobre tus datos
Este cuestionario es anónimo.
Anónimo
Esto quiere decir que nadie puede saber que las respuestas son tuyas.
Queremos informarte sobre cómo protegemos tus datos personales.
Esta información sigue la norma sobre protección de datos personales.
Quién usa tus datos y para qué
Si decides rellenar el cuestionario, aceptas que la Universidad Politécnica de Madrid use tus datos.
Usar tus datos
Quiere decir recoger, guardar o consultar tus datos para una finalidad concreta.
La Universidad Politécnica de Madrid.
Grupo de Ingeniería Ontológica.
Es la responsable del uso de tus datos.
La finalidad es la investigación indicada antes en este cuestionario.
Tus derechos
Tú puedes hacer lo siguiente con tus datos:
Acceder a tus datos.
Rectificar tus datos.
Suprimir tus datos.
Ejercer otros derechos sobre tus datos.
Rectificar
Quiere decir corregir tus datos si hay un error o si han cambiado.
Suprimir
Quiere decir pedir que borren tus datos.
Dónde puedes leer más información
Puedes leer la información adicional en este enlace:
https://oeg.fi.upm.es/protecciondatos.html</t>
  </si>
  <si>
    <t>Información sobre tus datos</t>
  </si>
  <si>
    <t>La Universidad Politécnica de Madrid.
Grupo de Ingeniería Ontológica.
Es la responsable del uso de tus datos.</t>
  </si>
  <si>
    <t>La finalidad es la investigación indicada antes en este cuestionario.</t>
  </si>
  <si>
    <t>us derechos
Tú puedes hacer lo siguiente con tus datos:
Acceder a tus datos.
Rectificar tus datos.
Suprimir tus datos.
Ejercer otros derechos sobre tus datos.
Rectificar
Quiere decir corregir tus datos si hay un error o si han cambiado.
Suprimir
Quiere decir pedir que borren tus datos.
Dónde puedes leer más información
Puedes leer la información adicional en este enlace:
https://oeg.fi.upm.es/protecciondatos.html</t>
  </si>
  <si>
    <t>Protección de tus datos personales
Este cuestionario es anónimo.
Esto quiere decir que no guardamos tu nombre ni tus datos personales.
¿Quién usa tus datos?
Si completas el cuestionario, aceptas que la Universidad Politécnica de Madrid use tus datos.
El grupo responsable es el Grupo de Ingeniería Ontológica.
¿Para qué usan tus datos?
Tus datos sirven para hacer la investigación explicada en este cuestionario.
Tus derechos sobre tus datos
Tienes derecho a:
→ Ver qué datos tenemos sobre ti
→ Corregir tus datos si son incorrectos
→ Pedir que borremos tus datos
→ Ejercer otros derechos que te explicamos en el enlace de abajo
Más información sobre tus derechos:
oeg.fi.upm.es/protecciondatos.html</t>
  </si>
  <si>
    <t>Protección de tus datos personales</t>
  </si>
  <si>
    <t>use tus datos</t>
  </si>
  <si>
    <t>Tus datos sirven para hacer la investigación explicada en este cuestionario.</t>
  </si>
  <si>
    <t>Tienes derecho a:
→ Ver qué datos tenemos sobre ti
→ Corregir tus datos si son incorrectos
→ Pedir que borremos tus datos
→ Ejercer otros derechos que te explicamos en el enlace de abajo
Más información sobre tus derechos:
oeg.fi.upm.es/protecciondatos.html</t>
  </si>
  <si>
    <t>Información sobre protección de datos
Diseñamos este cuestionario para que sea anónimo.
Esto significa que no podemos saber quién responde.
Queremos informarte sobre nuestra política de privacidad.
La política de privacidad son las normas
que seguimos para proteger tus datos personales.
Si decides responder el cuestionario,
nos das permiso para usar tus datos.
La responsable del tratamiento de tus datos
es la Universidad Politécnica de Madrid
(Grupo de Ingeniería Ontológica).
Ser responsable del tratamiento significa
que esta universidad decide
cómo y por qué se usan tus datos.
Usamos tus datos para la investigación
que te explicamos.
Tienes derecho a:
- acceder a tus datos
  Puedes ver tus datos cuando quieras.
- rectificar tus datos
  Puedes corregir tus datos si son incorrectos.
- suprimir tus datos
  Puedes borrar tus datos cuando quieras.
- ejercer otros derechos
Puedes obtener más información sobre tus derechos
en este enlace:
https://oeg.fi.upm.es/protecciondatos.html</t>
  </si>
  <si>
    <t>nos das permiso para usar tus datos</t>
  </si>
  <si>
    <t>La responsable del tratamiento de tus datos
es la Universidad Politécnica de Madrid
(Grupo de Ingeniería Ontológica).</t>
  </si>
  <si>
    <t>Tienes derecho a:
- acceder a tus datos
  Puedes ver tus datos cuando quieras.
- rectificar tus datos
  Puedes corregir tus datos si son incorrectos.
- suprimir tus datos
  Puedes borrar tus datos cuando quieras.
- ejercer otros derechos
Puedes obtener más información sobre tus derechos
en este enlace:
https://oeg.fi.upm.es/protecciondatos.html</t>
  </si>
  <si>
    <t>Usamos tus datos para la investigación
que te explicamos.</t>
  </si>
  <si>
    <t>La Universidad Politécnica Madrid (Grupo de Investigación Ontológica) quiere investigar sobre la lectura fácil.
Para ello, han creado este cuestionario.
Este cuestionario es anónimo.
Esto significa que no podrás saber quién ha contestado.
Si quieres saber cómo se usan los datos, puedes ver la política de privacidad en este enlace: https://oeg.fi.
upm.es/proteccióndatos.html</t>
  </si>
  <si>
    <t>adapta el siguiente texto a lectura fácil:</t>
  </si>
  <si>
    <t>Información sobre tus datos
Este cuestionario es anónimo.
Anónimo significa que nadie puede saber quién eres por tus respuestas.
Queremos explicarte cómo usamos la información.
Si completas el cuestionario, aceptas que la Universidad Politécnica de Madrid use los datos que facilites.
La Universidad Politécnica de Madrid es la responsable del tratamiento de los datos.
El tratamiento de datos significa recoger y usar información.
Tus datos se usarán para la investigación relacionada con este cuestionario.
Tú tienes varios derechos sobre tus datos:
Tú puedes ver tus datos.
Tú puedes corregir tus datos.
Tú puedes pedir que tus datos se eliminen.
Tú puedes ejercer otros derechos relacionados con la protección de datos.
Puedes leer más información en este enlace:
https://oeg.fi.upm.es/protecciondatos.html</t>
  </si>
  <si>
    <t>Modelo_Qwen3.5_9B</t>
  </si>
  <si>
    <t>Asistente Lectura Facilitada "Francisco Javier Alvarez Jimenez"</t>
  </si>
  <si>
    <t>La Universidad Politécnica Madrid (Grupo de Investigación Ontológica)</t>
  </si>
  <si>
    <t>quiere investigar sobre la lectura fácil.</t>
  </si>
  <si>
    <t>Si quieres saber cómo se usan los datos, puedes ver la política de privacidad en este enlace: https://oeg.fi.
upm.es/proteccióndatos.html</t>
  </si>
  <si>
    <t>La Universidad Politécnica de Madrid es la responsable del tratamiento de los datos.</t>
  </si>
  <si>
    <t>Tus datos se usarán para la investigación relacionada con este cuestionario.</t>
  </si>
  <si>
    <t>El tratamiento de datos significa recoger y usar información.</t>
  </si>
  <si>
    <t>Tus datos se usarán para la investigación relacionada con este cuestionario.
Tú tienes varios derechos sobre tus datos:
Tú puedes ver tus datos.
Tú puedes corregir tus datos.
Tú puedes pedir que tus datos se eliminen.
Tú puedes ejercer otros derechos relacionados con la protección de datos.
Puedes leer más información en este enlace:
https://oeg.fi.upm.es/protecciondatos.html</t>
  </si>
  <si>
    <t>Identificación clara del bloque informativo.</t>
  </si>
  <si>
    <t>SÍ</t>
  </si>
  <si>
    <t>El texto comienza con un título inequívoco que delimita la naturaleza de la información.</t>
  </si>
  <si>
    <t>"Información sobre protección de datos"</t>
  </si>
  <si>
    <t>Identidad de la entidad que trata los datos.</t>
  </si>
  <si>
    <t>Identifica claramente a la persona jurídica (UPM) y al grupo específico encargado del tratamiento.</t>
  </si>
  <si>
    <t>"Universidad Politécnica de Madrid (Grupo de Ingeniería Ontológica), responsable de este tratamiento,"</t>
  </si>
  <si>
    <t>Descripción de los fines del tratamiento.</t>
  </si>
  <si>
    <t>Riesgo Medio. Menciona que es para "investigación", pero es una fórmula genérica. No especifica el objeto concreto de la investigación, lo que debilita el principio de limitación de la finalidad.</t>
  </si>
  <si>
    <t>"con la finalidad relacionada con la investigación ya señalada."</t>
  </si>
  <si>
    <t>Base jurídica aplicable al tratamiento.</t>
  </si>
  <si>
    <t>Se determina de forma explícita que la base legal es el consentimiento del interesado al rellenar el formulario.</t>
  </si>
  <si>
    <t>"te informamos de que consientes que tus datos sean tratados"</t>
  </si>
  <si>
    <t>Previsión de cesiones o transferencias.</t>
  </si>
  <si>
    <t>Riesgo Alto. Omisión absoluta. La guía AEPD exige que este epígrafe aparezca siempre en la primera capa, incluso para indicar que no se prevén cesiones (ej. "No se cederán datos a terceros, salvo obligación legal").</t>
  </si>
  <si>
    <t>Ninguna (Ausencia total de texto).</t>
  </si>
  <si>
    <t>Enlace e indicación para ejercer los derechos y acceder a la 2ª capa.</t>
  </si>
  <si>
    <t>"puedes acceder, rectificar y suprimir los datos, así como ejercer otros derechos... disponible en el siguiente enlace: 'https://oeg.fi.upm.es/protecciondatos.html'."</t>
  </si>
  <si>
    <t>El texto cuenta con un encabezado explícito que delimita claramente el inicio de la cláusula de privacidad.</t>
  </si>
  <si>
    <t>Se identifica de forma inequívoca a la persona jurídica y al grupo de investigación concreto que ejerce el control.</t>
  </si>
  <si>
    <t>"Universidad Politécnica de Madrid (Grupo de Ingeniería Ontológica), responsable de este tratamiento"</t>
  </si>
  <si>
    <t>Identifica explícitamente el consentimiento del interesado mediante una acción afirmativa (cumplimentar el cuestionario).</t>
  </si>
  <si>
    <t>Ninguna (Ausencia total de mención en el texto)</t>
  </si>
  <si>
    <t>Menciona derechos básicos (acceso, rectificación, supresión), alude a otros adicionales e incluye el hipervínculo directo para la información detallada.</t>
  </si>
  <si>
    <t>Riesgo Medio. El texto remite a una "investigación ya señalada". Si la cláusula se lee de forma aislada, el fin específico no es autónomo, explícito ni conciso por sí mismo dentro de la capa.</t>
  </si>
  <si>
    <t>Riesgo Alto. Omisión total. La guía de la AEPD establece que este epígrafe debe aparecer siempre en la primera capa, aun cuando no se prevean comunicaciones a terceros.</t>
  </si>
  <si>
    <t>El texto inicia con un encabezado explícito que delimita el inicio de la información de protección de datos.</t>
  </si>
  <si>
    <t>"INFORMACIÓN SOBRE PROTECCIÓN DE DATOS"</t>
  </si>
  <si>
    <t>Se identifica claramente a la institución académica y al grupo de investigación concreto que trata los datos.</t>
  </si>
  <si>
    <t>"Universidad Politécnica de Madrid (Grupo de Ingeniería Ontológica)"</t>
  </si>
  <si>
    <t>Riesgo Medio. El texto indica que es para una "investigación que hemos mencionado". El fin específico no es autónomo ni autosuficiente por sí mismo dentro de la capa informativa si se lee de forma aislada.</t>
  </si>
  <si>
    <t>"Esto es para la investigación que hemos mencionado."</t>
  </si>
  <si>
    <t>Cumple semánticamente al adaptar el concepto a lectura fácil, identificando el consentimiento mediante la acción afirmativa de responder.</t>
  </si>
  <si>
    <t>"Si decides responder el cuestionario, aceptas que..."</t>
  </si>
  <si>
    <t>Riesgo Alto. Omisión absoluta. La guía de la AEPD exige que este epígrafe aparezca siempre en la primera capa, incluso para manifestar que no se prevén comunicaciones a terceros.</t>
  </si>
  <si>
    <t>Ninguna (Ausencia total de texto)</t>
  </si>
  <si>
    <t>Traduce adecuadamente a lectura fácil los derechos de acceso, rectificación y supresión ("cambiar y borrar"), nombra la existencia de otros y aporta el hipervínculo directo.</t>
  </si>
  <si>
    <t>"También puedes acceder, cambiar y borrar tus datos. Tienes otros derechos que puedes ejercer. Para más información, puedes visitar este enlace: 'https://oeg.fi.upm.es/protecciondatos.html'."</t>
  </si>
  <si>
    <t>El texto cuenta con un encabezado explícito que delimita claramente el inicio de la cláusula informativa.</t>
  </si>
  <si>
    <t>Se identifica de forma inequívoca a la persona jurídica y al grupo de investigación que ejerce el control.</t>
  </si>
  <si>
    <t>Riesgo Medio. El texto indica de forma genérica que es para "una investigación". Al no especificar el objeto ni el área temática del estudio dentro del texto, la finalidad carece de la concreción exigida para ser considerada plenamente explícita y legítima.</t>
  </si>
  <si>
    <t>Cumple semánticamente al adaptar el concepto a lectura fácil, asociando la base legal (consentimiento) a la acción afirmativa de completar el cuestionario.</t>
  </si>
  <si>
    <t>Riesgo Alto. Omisión absoluta. La guía de la AEPD establece que este epígrafe debe figurar siempre en la primera capa informativa, inclusive para manifestar que no se prevén comunicaciones de datos a terceros.</t>
  </si>
  <si>
    <t>Adapta correctamente los derechos principales a lectura fácil (acceso = "Ver", rectificación = "Cambiar", supresión = "Pedir que eliminen"), menciona la existencia de otros y proporciona el hipervínculo directo.</t>
  </si>
  <si>
    <t>"La Universidad Politécnica de Madrid usa tus datos para una investigación. El grupo responsable es el Grupo de Ingeniería Ontológica."</t>
  </si>
  <si>
    <t>"usa tus datos para una investigación." / "para esta investigación."</t>
  </si>
  <si>
    <t>"Si completas el cuestionario, aceptas el uso de tus datos..."</t>
  </si>
  <si>
    <t>"Tú puedes: Ver tus datos. Cambiar tus datos. Pedir que eliminen tus datos. Usar otros derechos... Puedes leer más información en este enlace: https://oeg.fi.upm.es/protecciondatos.html"</t>
  </si>
  <si>
    <t>El texto cuenta con un encabezado explícito que delimita el inicio de la información.</t>
  </si>
  <si>
    <t>Riesgo Bajo. Identifica la persona jurídica (UPM), pero a diferencia de los textos anteriores, ha omitido la mención al "Grupo de Ingeniería Ontológica" que concreta el departamento encargado.</t>
  </si>
  <si>
    <t>Riesgo Medio. Se indica de forma genérica que es para "una investigación". Al no especificar el objeto ni el área temática del estudio dentro de la capa, la finalidad carece de la concreción exigida para ser considerada plenamente explícita.</t>
  </si>
  <si>
    <t>Cumple semánticamente adaptando el concepto a lectura fácil, asociando el consentimiento a la acción afirmativa de completar el cuestionario.</t>
  </si>
  <si>
    <t>Riesgo Alto. Omisión absoluta. La guía de la AEPD establece que este epígrafe debe figurar siempre en la primera capa, inclusive para manifestar que no se prevén comunicaciones de datos a terceros.</t>
  </si>
  <si>
    <t>Riesgo Alto. Aunque adapta correctamente los derechos principales a lectura fácil, no incluye un enlace web válido (URL), hipervínculo o indicación textual física accesible para consultar la segunda capa.</t>
  </si>
  <si>
    <t>"La responsable del tratamiento de los datos es la Universidad Politécnica de Madrid."</t>
  </si>
  <si>
    <t>"La información que se escriba se usará para una investigación." / "para esta investigación."</t>
  </si>
  <si>
    <t>"Si completas el cuestionario, aceptas que tus datos se usen..."</t>
  </si>
  <si>
    <t>"Puedes: Consultar tus datos. Cambiar tus datos. Pedir que se eliminen tus datos. Ejercer otros derechos... Puedes leer más información aquí: Protección de datos UPM"</t>
  </si>
  <si>
    <t>El texto cuenta con un encabezado inequívoco y visible que identifica el bloque informativo.</t>
  </si>
  <si>
    <t>"Información sobre la protección de tus datos"</t>
  </si>
  <si>
    <t>Identifica a la persona jurídica (UPM) y al grupo investigador concreto como responsable técnico.</t>
  </si>
  <si>
    <t>"La Universidad Politécnica de Madrid usa tus datos... El Grupo de Ingeniería Ontológica es el responsable de tus datos."</t>
  </si>
  <si>
    <t>Riesgo Medio. Se determina que el fin es "investigar". Al ser adaptado a lectura fácil es comprensible, pero sigue siendo un fin indeterminado (vago) al no acotar el proyecto, área o el objeto de estudio específico dentro del texto.</t>
  </si>
  <si>
    <t>"Esta universidad usa tus datos para investigar."</t>
  </si>
  <si>
    <t>Se valida positivamente la adaptación a lectura fácil. Traduce el concepto "consentimiento" ligándolo directamente a una acción afirmativa y voluntaria del usuario.</t>
  </si>
  <si>
    <t>"Tú decides responder las preguntas. Con esta acción tú das permiso para usar tus datos."</t>
  </si>
  <si>
    <t>Riesgo Alto. Omisión absoluta. La guía de la AEPD exige de forma expresa que este epígrafe figure siempre en la primera capa, incluso para clarificar que no se prevén comunicaciones de datos a terceros.</t>
  </si>
  <si>
    <t>Cumple de manera notable. Desglosa los derechos principales de forma muy accesible y aporta la dirección URL exacta y operativa para acceder a la segunda capa.</t>
  </si>
  <si>
    <t>"Tú puedes pedir estas cuatro acciones: Ver tus datos. Cambiar tus datos. Borrar tus datos. Pedir otros derechos... Tú puedes encontrar la información en esta página web: https://oeg.fi.upm.es/protecciondatos.html"</t>
  </si>
  <si>
    <t>El texto cuenta con un encabezado inicial explícito que delimita claramente el bloque informativo de protección de datos.</t>
  </si>
  <si>
    <t>"Información sobre tus datos"</t>
  </si>
  <si>
    <t>Identifica de manera inequívoca tanto a la persona jurídica como al grupo específico encargado del tratamiento de la información.</t>
  </si>
  <si>
    <t>"La Universidad Politécnica de Madrid. Grupo de Ingeniería Ontológica. Es la responsable del uso de tus datos."</t>
  </si>
  <si>
    <t>Nivel de riesgo: Medio. Aunque se adapta semánticamente a lectura fácil, la cláusula remite a una "investigación indicada antes". Si un usuario lee este bloque de forma aislada, el fin exacto no es autónomo, explícito ni determinado dentro de la propia capa.</t>
  </si>
  <si>
    <t>"La finalidad es la investigación indicada antes en este cuestionario."</t>
  </si>
  <si>
    <t>Cumple semánticamente con las pautas de accesibilidad y claridad (lectura fácil). Vincula el consentimiento a una acción afirmativa y voluntaria del interesado.</t>
  </si>
  <si>
    <t>"Si decides rellenar el cuestionario, aceptas que la Universidad Politécnica de Madrid use tus datos."</t>
  </si>
  <si>
    <t>Nivel de riesgo: Alto. Omisión absoluta. La guía de la AEPD exige de forma expresa que este epígrafe figure siempre en la primera capa, inclusive para manifestar que no se prevén comunicaciones de datos a terceros.</t>
  </si>
  <si>
    <t>Cumple de manera notable. Desglosa los derechos principales de forma clara, incluye definiciones pedagógicas breves y proporciona un enlace URL directo y operativo hacia la segunda capa.</t>
  </si>
  <si>
    <t>"Tú puedes hacer lo siguiente con tus datos: Acceder a tus datos... Puedes leer la información adicional en este enlace: https://oeg.fi.upm.es/protecciondatos.html"</t>
  </si>
  <si>
    <t>El texto cuenta con un encabezado inicial explícito que delimita perfectamente el bloque informativo.</t>
  </si>
  <si>
    <t>"Protección de tus datos personales"</t>
  </si>
  <si>
    <t>Identifica de forma clara e inequívoca a la persona jurídica (UPM) y al departamento de investigación concreto que ejerce el control.</t>
  </si>
  <si>
    <t>"¿Quién usa tus datos? Si completas el cuestionario, aceptas que la Universidad Politécnica de Madrid use tus datos. El grupo responsable es el Grupo de Ingeniería Ontológica."</t>
  </si>
  <si>
    <t>Nivel de riesgo: Medio. Remite internamente a la "investigación explicada en este cuestionario". Al no acotar la temática o el proyecto científico en este bloque, la finalidad no es autónoma ni completamente explícita dentro de la capa informativa.</t>
  </si>
  <si>
    <t>"Tus datos sirven para hacer la investigación explicada en este cuestionario."</t>
  </si>
  <si>
    <t>Excelente cumplimiento semántico bajo pautas de lectura fácil. Vincula la base legal (consentimiento) a una acción afirmativa y voluntaria del interesado.</t>
  </si>
  <si>
    <t>"Si completas el cuestionario, aceptas que la Universidad Politécnica de Madrid use tus datos."</t>
  </si>
  <si>
    <t>Nivel de riesgo: Alto. Omisión absoluta. La guía de la AEPD exige de forma expresa que este epígrafe figure siempre en la primera capa informativa, inclusive para manifestar que no se prevén comunicaciones de datos a terceros.</t>
  </si>
  <si>
    <t>Ninguna (Ausencia total de mención en el texto).</t>
  </si>
  <si>
    <t>Cumplimiento óptimo. Desglosa los derechos principales traduciéndolos a lenguaje llano (acceso = "Ver", rectificación = "Corregir", supresión = "Pedir que borremos") y facilita la dirección URL directa para la segunda capa.</t>
  </si>
  <si>
    <t>"Tienes derecho a: → Ver qué datos tenemos sobre ti... Más información sobre tus derechos: oeg.fi.upm.es/protecciondatos.html"</t>
  </si>
  <si>
    <t>Identifica de forma clara e inequívoca a la persona jurídica y al departamento de investigación concreto que ejerce el control, aportando además una excelente definición en lectura fácil del rol de responsable.</t>
  </si>
  <si>
    <t>"La responsable del tratamiento de tus datos es la Universidad Politécnica de Madrid (Grupo de Ingeniería Ontológica). Ser responsable del tratamiento significa que esta universidad decide cómo y por qué se usan tus datos."</t>
  </si>
  <si>
    <t>"Usamos tus datos para la investigación que te explicamos."</t>
  </si>
  <si>
    <t>Cumplimiento semántico óptimo bajo pautas de lectura fácil. Traduce el concepto de consentimiento ligándolo explícitamente a una acción afirmativa y voluntaria del interesado.</t>
  </si>
  <si>
    <t>"Si decides responder el cuestionario, nos das permiso para usar tus datos."</t>
  </si>
  <si>
    <t>Cumplimiento excelente. Desglosa los derechos principales traduciéndolos a lenguaje llano con glosarios pedagógicos integrados y facilita la dirección URL directa y operativa para acceder a la segunda capa.</t>
  </si>
  <si>
    <t>"Tienes derecho a: - acceder a tus datos... - rectificar tus datos... - suprimir tus datos... - ejercer otros derechos Puedes obtener más información sobre tus derechos en este enlace: https://oeg.fi.upm.es/protecciondatos.ht</t>
  </si>
  <si>
    <t>Nivel de riesgo: Medio. Remite internamente a la "investigación que te explicamos". Al no acotar la temática ni el objeto específico del estudio científico en este bloque, la finalidad carece de la autonomía exigible dentro de la propia capa informativa.</t>
  </si>
  <si>
    <t>Nivel de riesgo: Alto. Omisión absoluta. La guía de la AEPD exige expresamente que este epígrafe figure siempre en la primera capa informativa, inclusive para manifestar de forma transparente que no se prevén comunicaciones de datos a terceros.</t>
  </si>
  <si>
    <t>El texto cuenta con un encabezado inicial explícito que delimita perfectamente el bloque informativo de protección de datos.</t>
  </si>
  <si>
    <t>Identifica de forma clara e de un solo vistazo a la persona jurídica y al grupo de investigación específico que ejerce el control.</t>
  </si>
  <si>
    <t>"sean tratados por la Universidad Politécnica de Madrid( Grupo de Ingeniería Ontológica), responsable de este tratamiento,"</t>
  </si>
  <si>
    <t>Identifica formalmente el consentimiento del interesado vinculándolo de manera explícita a la acción voluntaria de cumplimentar el formulario.</t>
  </si>
  <si>
    <t>"Si accedes a cumplimentar el cuestionario te informamos de que consientes que tus datos sean tratados"</t>
  </si>
  <si>
    <t>"También te informamos de que puedes acceder, rectificar y suprimir los datos, y ejercer otros derechos... disponible en el siguiente enlace que https: //oeg.fi.upm.es/ protecciondatos.html."</t>
  </si>
  <si>
    <t>Nivel de riesgo: Medio. Remite internamente a una "investigación ya señalada". Al no acotar la temática ni el objeto del estudio científico en este bloque, la finalidad carece de la autonomía exigible dentro de la propia capa informativa.</t>
  </si>
  <si>
    <t>Nivel de riesgo: Bajo. Desglosa los derechos clave y hace la redirección reglamentaria. No obstante, el texto del input introduce una errata tipográfica ("enlace que https: //...") y espacios que rompen la estructura sintáctica de la URL, lo que dificulta el "fácil acceso" exigido por el principio de transparencia.</t>
  </si>
  <si>
    <t>Ninguna (Ausencia total de mención)</t>
  </si>
  <si>
    <t>Identifica de forma clara a la persona jurídica (UPM) y al grupo o departamento específico que realiza la investigación.</t>
  </si>
  <si>
    <t>"La Universidad Politécnica Madrid (Grupo de Investigación Ontológica) quiere investigar..."</t>
  </si>
  <si>
    <t>Se valida positivamente. A diferencia de las versiones anteriores, el texto en lectura fácil acota perfectamente el objeto y área de la investigación en la misma cláusula.</t>
  </si>
  <si>
    <t>"...quiere investigar sobre la lectura fácil. Para ello, han creado este cuestionario."</t>
  </si>
  <si>
    <t>"...puedes ver la política de privacidad en este enlace: https://oeg.fi. upm.es/proteccióndatos.html"</t>
  </si>
  <si>
    <t>Nivel de riesgo: Bajo. El texto carece por completo de un título o encabezado formal que alerte al usuario de que está ante una cláusula informativa de protección de datos.</t>
  </si>
  <si>
    <t>Nivel de riesgo: Alto. Omisión técnica y semántica. El texto no indica cuál es la base legal ni vincula el tratamiento al consentimiento (ej. mediante una acción como "al rellenar este cuestionario aceptas...").</t>
  </si>
  <si>
    <t>Nivel de riesgo: Alto. Omisión absoluta. La guía de la AEPD exige que este epígrafe figure siempre en la primera capa, inclusive para manifestar que no se prevén comunicaciones de datos a terceros.</t>
  </si>
  <si>
    <t>Nivel de riesgo: Alto. Se incluye una redirección a la política de privacidad (2ª capa). Sin embargo, la URL se encuentra fragmentada ("oeg.fi. upm.es...") con un salto de línea y tilde inapropiada, lo que rompe el enlace físico. Además, se omitió por completo enumerar o hacer referencia a los derechos del usuario (acceso, rectificación, supresión, etc.) en el propio texto, algo obligatorio según la guía.</t>
  </si>
  <si>
    <t>Nivel de riesgo: Bajo. Identifica formalmente a la persona jurídica (UPM). Sin embargo, a diferencia del checklist de validación base, ha omitido la mención explícita al "Grupo de Ingeniería Ontológica", lo que diluye la precisión sobre el departamento técnico concreto que maneja el tratamiento.</t>
  </si>
  <si>
    <t>"La Universidad Politécnica de Madrid es la responsable del tratamiento de los datos."</t>
  </si>
  <si>
    <t>Nivel de riesgo: Medio. Se indica que es para "la investigación relacionada con este cuestionario". Al no acotar la temática ni el objeto específico del estudio científico en este bloque, la finalidad carece de la autonomía exigible dentro de la propia capa informativa si se lee de forma aislada.</t>
  </si>
  <si>
    <t>"Tus datos se usarán para la investigación relacionada con este cuestionario."</t>
  </si>
  <si>
    <t>"Si completas el cuestionario, aceptas que la Universidad Politécnica de Madrid use los datos que facilites."</t>
  </si>
  <si>
    <t>Nivel de riesgo: Alto. Omisión absoluta. La guía de la AEPD exige de forma expresa que este epígrafe figure siempre en la primera capa informativa, inclusive para manifestar de forma transparente que no se prevén comunicaciones de datos a terceros.</t>
  </si>
  <si>
    <t>Cumplimiento excelente. Desglosa los derechos principales traduciéndolos a lenguaje llano (acceso = "ver", rectificación = "corregir", supresión = "eliminen") y facilita la dirección URL directa y operativa para acceder a la segunda capa informativa.</t>
  </si>
  <si>
    <t>"Tú tienes varios derechos sobre tus datos: Tú puedes ver tus datos. Tú puedes corregir tus datos. Tú puedes pedir que tus datos se eliminen. Tú puedes ejercer otros derechos... Puedes leer más información en este enlace: https://oeg.fi.upm.es/protecciondatos.html"</t>
  </si>
  <si>
    <t>Ítem de Validación</t>
  </si>
  <si>
    <t>Cumple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</si>
</sst>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Arial"/>
      <family val="2"/>
    </font>
    <font>
      <sz val="11"/>
      <name val="Arial"/>
      <family val="2"/>
    </font>
    <font>
      <b/>
      <sz val="11"/>
      <name val="Arial"/>
      <family val="2"/>
    </font>
    <font>
      <sz val="9"/>
      <color indexed="81"/>
      <name val="Tahoma"/>
      <family val="2"/>
    </font>
    <font>
      <b/>
      <sz val="9"/>
      <color indexed="81"/>
      <name val="Tahoma"/>
      <family val="2"/>
    </font>
    <font>
      <sz val="8"/>
      <name val="Calibri"/>
      <family val="2"/>
      <scheme val="minor"/>
    </font>
    <font>
      <b/>
      <sz val="11"/>
      <color theme="1"/>
      <name val="Arial"/>
      <family val="2"/>
    </font>
    <font>
      <b/>
      <sz val="14"/>
      <name val="Arial"/>
      <family val="2"/>
    </font>
    <font>
      <sz val="11"/>
      <color rgb="FF1F1F1F"/>
      <name val="Arial"/>
      <family val="2"/>
    </font>
    <font>
      <b/>
      <sz val="11"/>
      <color rgb="FF1F1F1F"/>
      <name val="Arial"/>
      <family val="2"/>
    </font>
    <font>
      <sz val="11"/>
      <color theme="1"/>
      <name val="Calibri"/>
      <family val="2"/>
      <scheme val="minor"/>
    </font>
    <font>
      <sz val="11"/>
      <color rgb="FFFF0000"/>
      <name val="Arial"/>
      <family val="2"/>
    </font>
    <font>
      <sz val="11"/>
      <color rgb="FF000000"/>
      <name val="Aptos Narrow"/>
      <family val="2"/>
    </font>
    <font>
      <sz val="9"/>
      <color indexed="81"/>
      <name val="Tahoma"/>
    </font>
    <font>
      <b/>
      <sz val="9"/>
      <color indexed="81"/>
      <name val="Tahoma"/>
    </font>
  </fonts>
  <fills count="6">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11" fillId="0" borderId="0" applyFont="0" applyFill="0" applyBorder="0" applyAlignment="0" applyProtection="0"/>
  </cellStyleXfs>
  <cellXfs count="33">
    <xf numFmtId="0" fontId="0" fillId="0" borderId="0" xfId="0"/>
    <xf numFmtId="0" fontId="2" fillId="0" borderId="0" xfId="0" applyFont="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applyBorder="1" applyAlignment="1">
      <alignment horizontal="left" vertical="top" wrapText="1"/>
    </xf>
    <xf numFmtId="0" fontId="2" fillId="0" borderId="2" xfId="0" applyFont="1" applyBorder="1" applyAlignment="1">
      <alignment horizontal="left" vertical="top" wrapText="1"/>
    </xf>
    <xf numFmtId="0" fontId="2" fillId="0" borderId="1" xfId="0" applyFont="1" applyBorder="1"/>
    <xf numFmtId="0" fontId="2" fillId="0" borderId="1" xfId="0" applyFont="1" applyBorder="1" applyAlignment="1">
      <alignment horizontal="left" vertical="center" wrapText="1" indent="1"/>
    </xf>
    <xf numFmtId="0" fontId="3" fillId="0" borderId="1" xfId="0" applyFont="1" applyBorder="1" applyAlignment="1">
      <alignment horizontal="center" vertical="top" wrapText="1"/>
    </xf>
    <xf numFmtId="0" fontId="3" fillId="0" borderId="0" xfId="0" applyFont="1" applyAlignment="1">
      <alignment horizontal="center" vertical="top" wrapText="1"/>
    </xf>
    <xf numFmtId="0" fontId="3" fillId="0" borderId="3" xfId="0" applyFont="1" applyBorder="1" applyAlignment="1">
      <alignment horizontal="center" vertical="top" wrapText="1"/>
    </xf>
    <xf numFmtId="0" fontId="2" fillId="0" borderId="3" xfId="0" applyFont="1" applyBorder="1" applyAlignment="1">
      <alignment horizontal="left" vertical="top"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7" fillId="0"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0" fillId="0" borderId="0" xfId="0" applyFont="1" applyBorder="1" applyAlignment="1">
      <alignment horizontal="left" vertical="center" wrapText="1" readingOrder="1"/>
    </xf>
    <xf numFmtId="0" fontId="10" fillId="0" borderId="0" xfId="0" applyFont="1" applyFill="1" applyBorder="1" applyAlignment="1">
      <alignment horizontal="left" vertical="center" wrapText="1" readingOrder="1"/>
    </xf>
    <xf numFmtId="0" fontId="0" fillId="0" borderId="0" xfId="0" applyFont="1" applyBorder="1" applyAlignment="1">
      <alignment horizontal="left" vertical="center"/>
    </xf>
    <xf numFmtId="0" fontId="9" fillId="0" borderId="0" xfId="0" applyFont="1" applyBorder="1" applyAlignment="1">
      <alignment horizontal="left" vertical="center" wrapText="1" readingOrder="1"/>
    </xf>
    <xf numFmtId="9" fontId="11" fillId="0" borderId="0" xfId="1" applyFont="1" applyBorder="1" applyAlignment="1">
      <alignment horizontal="left" vertical="center"/>
    </xf>
    <xf numFmtId="0" fontId="0" fillId="0" borderId="0" xfId="0" applyFont="1" applyBorder="1" applyAlignment="1">
      <alignment horizontal="left" vertical="center" wrapText="1"/>
    </xf>
    <xf numFmtId="0" fontId="13" fillId="0" borderId="0" xfId="0" applyFont="1" applyBorder="1" applyAlignment="1">
      <alignment horizontal="left" vertical="center"/>
    </xf>
    <xf numFmtId="0" fontId="13" fillId="0" borderId="0" xfId="0" applyNumberFormat="1" applyFont="1" applyBorder="1" applyAlignment="1">
      <alignment horizontal="left" vertical="center"/>
    </xf>
    <xf numFmtId="9" fontId="0" fillId="0" borderId="0" xfId="1" applyFont="1" applyBorder="1" applyAlignment="1">
      <alignment horizontal="left" vertical="center"/>
    </xf>
    <xf numFmtId="0" fontId="2" fillId="4"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12" fillId="0" borderId="1" xfId="0" applyFont="1" applyFill="1" applyBorder="1" applyAlignment="1">
      <alignment horizontal="left" vertical="top" wrapText="1"/>
    </xf>
    <xf numFmtId="0" fontId="12" fillId="0" borderId="1" xfId="0" applyFont="1" applyBorder="1" applyAlignment="1">
      <alignment horizontal="left" vertical="top" wrapText="1"/>
    </xf>
    <xf numFmtId="0" fontId="12" fillId="0" borderId="0" xfId="0" applyFont="1" applyAlignment="1">
      <alignment horizontal="left" vertical="top" wrapText="1"/>
    </xf>
    <xf numFmtId="0" fontId="8" fillId="2" borderId="0" xfId="0" applyFont="1" applyFill="1" applyAlignment="1">
      <alignment horizontal="center" vertical="center" wrapText="1"/>
    </xf>
    <xf numFmtId="0" fontId="2" fillId="5" borderId="0" xfId="0" applyFont="1" applyFill="1" applyAlignment="1">
      <alignment horizontal="left" vertical="top" wrapText="1"/>
    </xf>
  </cellXfs>
  <cellStyles count="2">
    <cellStyle name="Normal" xfId="0" builtinId="0"/>
    <cellStyle name="Porcentaje" xfId="1" builtinId="5"/>
  </cellStyles>
  <dxfs count="0"/>
  <tableStyles count="0" defaultTableStyle="TableStyleMedium2" defaultPivotStyle="PivotStyleLight16"/>
  <colors>
    <mruColors>
      <color rgb="FFEF38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1266825</xdr:colOff>
      <xdr:row>2</xdr:row>
      <xdr:rowOff>114300</xdr:rowOff>
    </xdr:from>
    <xdr:to>
      <xdr:col>8</xdr:col>
      <xdr:colOff>4467019</xdr:colOff>
      <xdr:row>7</xdr:row>
      <xdr:rowOff>104775</xdr:rowOff>
    </xdr:to>
    <xdr:pic>
      <xdr:nvPicPr>
        <xdr:cNvPr id="2" name="Imagen 1">
          <a:extLst>
            <a:ext uri="{FF2B5EF4-FFF2-40B4-BE49-F238E27FC236}">
              <a16:creationId xmlns:a16="http://schemas.microsoft.com/office/drawing/2014/main" id="{B3515C34-0CCE-FAEB-D3C2-9FA9E3922FCB}"/>
            </a:ext>
          </a:extLst>
        </xdr:cNvPr>
        <xdr:cNvPicPr>
          <a:picLocks noChangeAspect="1"/>
        </xdr:cNvPicPr>
      </xdr:nvPicPr>
      <xdr:blipFill>
        <a:blip xmlns:r="http://schemas.openxmlformats.org/officeDocument/2006/relationships" r:embed="rId1"/>
        <a:stretch>
          <a:fillRect/>
        </a:stretch>
      </xdr:blipFill>
      <xdr:spPr>
        <a:xfrm>
          <a:off x="10001250" y="666750"/>
          <a:ext cx="5629069" cy="5419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B98D3-FD2F-4187-9139-DA6FC840786E}">
  <dimension ref="A1:N488"/>
  <sheetViews>
    <sheetView zoomScale="80" zoomScaleNormal="80" workbookViewId="0">
      <pane xSplit="3" ySplit="1" topLeftCell="D2" activePane="bottomRight" state="frozen"/>
      <selection pane="topRight" activeCell="E1" sqref="E1"/>
      <selection pane="bottomLeft" activeCell="A2" sqref="A2"/>
      <selection pane="bottomRight" activeCell="D2" sqref="D2"/>
    </sheetView>
  </sheetViews>
  <sheetFormatPr baseColWidth="10" defaultRowHeight="15" x14ac:dyDescent="0.25"/>
  <cols>
    <col min="1" max="1" width="4.140625" style="4" customWidth="1"/>
    <col min="2" max="2" width="33.28515625" style="2" customWidth="1"/>
    <col min="3" max="3" width="43.28515625" style="1" customWidth="1"/>
    <col min="4" max="4" width="47.42578125" style="4" customWidth="1"/>
    <col min="5" max="5" width="25.7109375" style="1" customWidth="1"/>
    <col min="6" max="6" width="25.85546875" style="1" customWidth="1"/>
    <col min="7" max="7" width="33.42578125" style="1" customWidth="1"/>
    <col min="8" max="8" width="27.42578125" style="1" customWidth="1"/>
    <col min="9" max="9" width="33.7109375" style="1" customWidth="1"/>
    <col min="10" max="10" width="24.28515625" style="1" customWidth="1"/>
    <col min="11" max="11" width="32.28515625" style="1" customWidth="1"/>
    <col min="12" max="12" width="34.7109375" style="1" customWidth="1"/>
    <col min="13" max="13" width="40" style="1" customWidth="1"/>
    <col min="14" max="14" width="54.140625" style="1" customWidth="1"/>
    <col min="15" max="16384" width="11.42578125" style="1"/>
  </cols>
  <sheetData>
    <row r="1" spans="1:14" s="2" customFormat="1" ht="90" x14ac:dyDescent="0.25">
      <c r="A1" s="13" t="s">
        <v>6</v>
      </c>
      <c r="B1" s="13" t="s">
        <v>0</v>
      </c>
      <c r="C1" s="13" t="s">
        <v>1</v>
      </c>
      <c r="D1" s="13" t="s">
        <v>3</v>
      </c>
      <c r="E1" s="13" t="s">
        <v>4</v>
      </c>
      <c r="F1" s="13" t="s">
        <v>5</v>
      </c>
      <c r="G1" s="13" t="s">
        <v>8</v>
      </c>
      <c r="H1" s="13" t="s">
        <v>11</v>
      </c>
      <c r="I1" s="13" t="s">
        <v>18</v>
      </c>
      <c r="J1" s="13" t="s">
        <v>26</v>
      </c>
      <c r="K1" s="14" t="s">
        <v>27</v>
      </c>
      <c r="L1" s="13" t="s">
        <v>38</v>
      </c>
      <c r="M1" s="31" t="s">
        <v>121</v>
      </c>
      <c r="N1" s="31" t="s">
        <v>122</v>
      </c>
    </row>
    <row r="2" spans="1:14" s="10" customFormat="1" x14ac:dyDescent="0.25">
      <c r="A2" s="9"/>
      <c r="B2" s="9" t="s">
        <v>32</v>
      </c>
      <c r="C2" s="9">
        <f>'1'!D9</f>
        <v>4.5</v>
      </c>
      <c r="D2" s="9">
        <f>'2'!D9</f>
        <v>4.5</v>
      </c>
      <c r="E2" s="9">
        <f>'3'!D9</f>
        <v>4.5</v>
      </c>
      <c r="F2" s="9">
        <f>'4'!D9</f>
        <v>4.5</v>
      </c>
      <c r="G2" s="9">
        <f>'5'!D9</f>
        <v>3.5</v>
      </c>
      <c r="H2" s="9">
        <f>'6'!D9</f>
        <v>4.5</v>
      </c>
      <c r="I2" s="9">
        <f>'7'!D9</f>
        <v>4.5</v>
      </c>
      <c r="J2" s="9">
        <f>'8'!D9</f>
        <v>4.5</v>
      </c>
      <c r="K2" s="11">
        <f>'9'!D9</f>
        <v>4.5</v>
      </c>
      <c r="L2" s="9">
        <f>'10'!D9</f>
        <v>4</v>
      </c>
      <c r="M2" s="10">
        <f>'11'!D9</f>
        <v>2.5</v>
      </c>
      <c r="N2" s="10">
        <f>'12'!D9</f>
        <v>4</v>
      </c>
    </row>
    <row r="3" spans="1:14" s="10" customFormat="1" x14ac:dyDescent="0.25">
      <c r="A3" s="9"/>
      <c r="B3" s="9"/>
      <c r="C3" s="9"/>
      <c r="D3" s="9"/>
      <c r="E3" s="9"/>
      <c r="F3" s="9"/>
      <c r="G3" s="9"/>
      <c r="H3" s="9"/>
      <c r="I3" s="9"/>
      <c r="J3" s="9"/>
      <c r="K3" s="11"/>
      <c r="L3" s="9"/>
    </row>
    <row r="4" spans="1:14" ht="42.75" x14ac:dyDescent="0.25">
      <c r="A4" s="4">
        <v>1</v>
      </c>
      <c r="B4" s="3" t="s">
        <v>2</v>
      </c>
      <c r="C4" s="4" t="s">
        <v>22</v>
      </c>
      <c r="D4" s="4" t="s">
        <v>58</v>
      </c>
      <c r="E4" s="26" t="s">
        <v>66</v>
      </c>
      <c r="F4" s="4" t="s">
        <v>22</v>
      </c>
      <c r="G4" s="4" t="s">
        <v>22</v>
      </c>
      <c r="H4" s="4" t="s">
        <v>12</v>
      </c>
      <c r="I4" s="4" t="s">
        <v>104</v>
      </c>
      <c r="J4" s="4" t="s">
        <v>109</v>
      </c>
      <c r="K4" s="12" t="s">
        <v>22</v>
      </c>
      <c r="L4" s="4" t="s">
        <v>22</v>
      </c>
      <c r="M4" s="32"/>
      <c r="N4" s="1" t="s">
        <v>104</v>
      </c>
    </row>
    <row r="5" spans="1:14" ht="85.5" x14ac:dyDescent="0.25">
      <c r="A5" s="4">
        <v>2</v>
      </c>
      <c r="B5" s="3" t="s">
        <v>43</v>
      </c>
      <c r="C5" s="4" t="s">
        <v>54</v>
      </c>
      <c r="D5" s="4" t="s">
        <v>67</v>
      </c>
      <c r="E5" s="4" t="s">
        <v>68</v>
      </c>
      <c r="F5" s="26" t="s">
        <v>73</v>
      </c>
      <c r="G5" s="26" t="s">
        <v>78</v>
      </c>
      <c r="H5" s="29" t="s">
        <v>100</v>
      </c>
      <c r="I5" s="4" t="s">
        <v>105</v>
      </c>
      <c r="J5" s="26" t="s">
        <v>73</v>
      </c>
      <c r="K5" s="12" t="s">
        <v>115</v>
      </c>
      <c r="L5" s="4" t="s">
        <v>61</v>
      </c>
      <c r="M5" s="1" t="s">
        <v>123</v>
      </c>
      <c r="N5" s="1" t="s">
        <v>126</v>
      </c>
    </row>
    <row r="6" spans="1:14" ht="57" x14ac:dyDescent="0.25">
      <c r="A6" s="4">
        <v>3</v>
      </c>
      <c r="B6" s="3" t="s">
        <v>44</v>
      </c>
      <c r="C6" s="4" t="s">
        <v>56</v>
      </c>
      <c r="D6" s="4" t="s">
        <v>56</v>
      </c>
      <c r="E6" s="4" t="s">
        <v>69</v>
      </c>
      <c r="F6" s="26" t="s">
        <v>74</v>
      </c>
      <c r="G6" s="26" t="s">
        <v>79</v>
      </c>
      <c r="H6" s="29" t="s">
        <v>101</v>
      </c>
      <c r="I6" s="4" t="s">
        <v>106</v>
      </c>
      <c r="J6" s="4" t="s">
        <v>111</v>
      </c>
      <c r="K6" s="12" t="s">
        <v>117</v>
      </c>
      <c r="L6" s="4" t="s">
        <v>62</v>
      </c>
      <c r="M6" s="1" t="s">
        <v>124</v>
      </c>
      <c r="N6" s="1" t="s">
        <v>127</v>
      </c>
    </row>
    <row r="7" spans="1:14" ht="28.5" x14ac:dyDescent="0.25">
      <c r="A7" s="4">
        <v>4</v>
      </c>
      <c r="B7" s="3" t="s">
        <v>47</v>
      </c>
      <c r="C7" s="4" t="s">
        <v>55</v>
      </c>
      <c r="D7" s="4" t="s">
        <v>55</v>
      </c>
      <c r="E7" s="4" t="s">
        <v>70</v>
      </c>
      <c r="F7" s="26" t="s">
        <v>75</v>
      </c>
      <c r="G7" s="4" t="s">
        <v>80</v>
      </c>
      <c r="H7" s="4" t="s">
        <v>99</v>
      </c>
      <c r="I7" s="4" t="s">
        <v>70</v>
      </c>
      <c r="J7" s="4" t="s">
        <v>110</v>
      </c>
      <c r="K7" s="12" t="s">
        <v>114</v>
      </c>
      <c r="L7" s="1" t="s">
        <v>63</v>
      </c>
      <c r="N7" s="1" t="s">
        <v>128</v>
      </c>
    </row>
    <row r="8" spans="1:14" x14ac:dyDescent="0.25">
      <c r="A8" s="4">
        <v>5</v>
      </c>
      <c r="B8" s="3" t="s">
        <v>45</v>
      </c>
      <c r="C8" s="4"/>
      <c r="E8" s="4"/>
      <c r="F8" s="4"/>
      <c r="G8" s="4"/>
      <c r="H8" s="4"/>
      <c r="I8" s="4"/>
      <c r="J8" s="4"/>
      <c r="K8" s="12"/>
      <c r="L8" s="4"/>
    </row>
    <row r="9" spans="1:14" ht="313.5" x14ac:dyDescent="0.25">
      <c r="A9" s="4">
        <v>6</v>
      </c>
      <c r="B9" s="3" t="s">
        <v>46</v>
      </c>
      <c r="C9" s="4" t="s">
        <v>57</v>
      </c>
      <c r="D9" s="4" t="s">
        <v>57</v>
      </c>
      <c r="E9" s="4" t="s">
        <v>71</v>
      </c>
      <c r="F9" s="4" t="s">
        <v>76</v>
      </c>
      <c r="G9" s="27" t="s">
        <v>81</v>
      </c>
      <c r="H9" s="4" t="s">
        <v>102</v>
      </c>
      <c r="I9" s="4" t="s">
        <v>107</v>
      </c>
      <c r="J9" s="4" t="s">
        <v>112</v>
      </c>
      <c r="K9" s="12" t="s">
        <v>116</v>
      </c>
      <c r="L9" s="4" t="s">
        <v>64</v>
      </c>
      <c r="M9" s="1" t="s">
        <v>125</v>
      </c>
      <c r="N9" s="1" t="s">
        <v>129</v>
      </c>
    </row>
    <row r="10" spans="1:14" x14ac:dyDescent="0.2">
      <c r="A10" s="4">
        <v>7</v>
      </c>
      <c r="B10" s="3" t="s">
        <v>52</v>
      </c>
      <c r="C10" s="4"/>
      <c r="E10" s="4"/>
      <c r="F10" s="4"/>
      <c r="G10" s="4"/>
      <c r="H10" s="7"/>
      <c r="I10" s="4"/>
      <c r="J10" s="8"/>
      <c r="K10" s="12"/>
      <c r="L10" s="4"/>
    </row>
    <row r="11" spans="1:14" x14ac:dyDescent="0.25">
      <c r="B11" s="3" t="s">
        <v>30</v>
      </c>
      <c r="C11" s="4"/>
      <c r="E11" s="4" t="s">
        <v>51</v>
      </c>
      <c r="F11" s="4" t="s">
        <v>37</v>
      </c>
      <c r="G11" s="4" t="s">
        <v>37</v>
      </c>
      <c r="H11" s="4" t="s">
        <v>11</v>
      </c>
      <c r="I11" s="4" t="s">
        <v>18</v>
      </c>
      <c r="J11" s="4" t="s">
        <v>34</v>
      </c>
      <c r="K11" s="12" t="s">
        <v>27</v>
      </c>
      <c r="L11" s="4"/>
      <c r="N11" s="4" t="s">
        <v>37</v>
      </c>
    </row>
    <row r="12" spans="1:14" ht="30" x14ac:dyDescent="0.25">
      <c r="B12" s="3" t="s">
        <v>33</v>
      </c>
      <c r="C12" s="4"/>
      <c r="E12" s="4">
        <v>52</v>
      </c>
      <c r="F12" s="4">
        <v>31</v>
      </c>
      <c r="G12" s="4">
        <v>22</v>
      </c>
      <c r="H12" s="4">
        <v>22</v>
      </c>
      <c r="I12" s="4">
        <v>33</v>
      </c>
      <c r="J12" s="4">
        <v>31</v>
      </c>
      <c r="K12" s="12">
        <v>45</v>
      </c>
      <c r="L12" s="4">
        <v>6</v>
      </c>
    </row>
    <row r="13" spans="1:14" x14ac:dyDescent="0.25">
      <c r="B13" s="3" t="s">
        <v>31</v>
      </c>
      <c r="C13" s="4"/>
      <c r="E13" s="4">
        <v>1</v>
      </c>
      <c r="F13" s="4">
        <v>1</v>
      </c>
      <c r="G13" s="4">
        <v>1</v>
      </c>
      <c r="H13" s="4">
        <v>1</v>
      </c>
      <c r="I13" s="4">
        <v>1</v>
      </c>
      <c r="J13" s="4">
        <v>1</v>
      </c>
      <c r="K13" s="12">
        <v>1</v>
      </c>
      <c r="L13" s="4">
        <v>1</v>
      </c>
      <c r="N13" s="1">
        <v>1</v>
      </c>
    </row>
    <row r="14" spans="1:14" ht="409.5" x14ac:dyDescent="0.25">
      <c r="B14" s="3" t="s">
        <v>28</v>
      </c>
      <c r="C14" s="4" t="s">
        <v>53</v>
      </c>
      <c r="D14" s="4" t="s">
        <v>59</v>
      </c>
      <c r="E14" s="4" t="s">
        <v>65</v>
      </c>
      <c r="F14" s="4" t="s">
        <v>72</v>
      </c>
      <c r="G14" s="4" t="s">
        <v>77</v>
      </c>
      <c r="H14" s="4" t="s">
        <v>98</v>
      </c>
      <c r="I14" s="4" t="s">
        <v>103</v>
      </c>
      <c r="J14" s="4" t="s">
        <v>108</v>
      </c>
      <c r="K14" s="12" t="s">
        <v>113</v>
      </c>
      <c r="L14" s="4" t="s">
        <v>60</v>
      </c>
      <c r="M14" s="1" t="s">
        <v>118</v>
      </c>
      <c r="N14" s="1" t="s">
        <v>120</v>
      </c>
    </row>
    <row r="15" spans="1:14" ht="409.5" x14ac:dyDescent="0.25">
      <c r="B15" s="3" t="s">
        <v>29</v>
      </c>
      <c r="C15" s="4"/>
      <c r="E15" s="4"/>
      <c r="F15" s="4" t="s">
        <v>9</v>
      </c>
      <c r="G15" s="4" t="s">
        <v>9</v>
      </c>
      <c r="H15" s="4" t="s">
        <v>13</v>
      </c>
      <c r="I15" s="4" t="s">
        <v>13</v>
      </c>
      <c r="J15" s="4" t="s">
        <v>13</v>
      </c>
      <c r="K15" s="12" t="s">
        <v>13</v>
      </c>
      <c r="L15" s="4"/>
      <c r="N15" s="1" t="s">
        <v>119</v>
      </c>
    </row>
    <row r="16" spans="1:14" ht="409.5" x14ac:dyDescent="0.25">
      <c r="A16" s="6"/>
      <c r="D16" s="5"/>
      <c r="F16" s="1" t="s">
        <v>7</v>
      </c>
      <c r="G16" s="1" t="s">
        <v>10</v>
      </c>
    </row>
    <row r="17" spans="4:4" x14ac:dyDescent="0.25">
      <c r="D17" s="5"/>
    </row>
    <row r="18" spans="4:4" x14ac:dyDescent="0.25">
      <c r="D18" s="5"/>
    </row>
    <row r="19" spans="4:4" x14ac:dyDescent="0.25">
      <c r="D19" s="5"/>
    </row>
    <row r="20" spans="4:4" x14ac:dyDescent="0.25">
      <c r="D20" s="5"/>
    </row>
    <row r="21" spans="4:4" x14ac:dyDescent="0.25">
      <c r="D21" s="5"/>
    </row>
    <row r="22" spans="4:4" x14ac:dyDescent="0.25">
      <c r="D22" s="5"/>
    </row>
    <row r="23" spans="4:4" x14ac:dyDescent="0.25">
      <c r="D23" s="5"/>
    </row>
    <row r="24" spans="4:4" x14ac:dyDescent="0.25">
      <c r="D24" s="5"/>
    </row>
    <row r="25" spans="4:4" x14ac:dyDescent="0.25">
      <c r="D25" s="5"/>
    </row>
    <row r="26" spans="4:4" x14ac:dyDescent="0.25">
      <c r="D26" s="5"/>
    </row>
    <row r="27" spans="4:4" x14ac:dyDescent="0.25">
      <c r="D27" s="5"/>
    </row>
    <row r="28" spans="4:4" x14ac:dyDescent="0.25">
      <c r="D28" s="5"/>
    </row>
    <row r="29" spans="4:4" x14ac:dyDescent="0.25">
      <c r="D29" s="5"/>
    </row>
    <row r="30" spans="4:4" x14ac:dyDescent="0.25">
      <c r="D30" s="5"/>
    </row>
    <row r="31" spans="4:4" x14ac:dyDescent="0.25">
      <c r="D31" s="5"/>
    </row>
    <row r="32" spans="4:4" x14ac:dyDescent="0.25">
      <c r="D32" s="5"/>
    </row>
    <row r="33" spans="4:4" x14ac:dyDescent="0.25">
      <c r="D33" s="5"/>
    </row>
    <row r="34" spans="4:4" x14ac:dyDescent="0.25">
      <c r="D34" s="5"/>
    </row>
    <row r="35" spans="4:4" x14ac:dyDescent="0.25">
      <c r="D35" s="5"/>
    </row>
    <row r="36" spans="4:4" x14ac:dyDescent="0.25">
      <c r="D36" s="5"/>
    </row>
    <row r="37" spans="4:4" x14ac:dyDescent="0.25">
      <c r="D37" s="5"/>
    </row>
    <row r="38" spans="4:4" x14ac:dyDescent="0.25">
      <c r="D38" s="5"/>
    </row>
    <row r="39" spans="4:4" x14ac:dyDescent="0.25">
      <c r="D39" s="5"/>
    </row>
    <row r="40" spans="4:4" x14ac:dyDescent="0.25">
      <c r="D40" s="5"/>
    </row>
    <row r="41" spans="4:4" x14ac:dyDescent="0.25">
      <c r="D41" s="5"/>
    </row>
    <row r="42" spans="4:4" x14ac:dyDescent="0.25">
      <c r="D42" s="5"/>
    </row>
    <row r="43" spans="4:4" x14ac:dyDescent="0.25">
      <c r="D43" s="5"/>
    </row>
    <row r="44" spans="4:4" x14ac:dyDescent="0.25">
      <c r="D44" s="5"/>
    </row>
    <row r="45" spans="4:4" x14ac:dyDescent="0.25">
      <c r="D45" s="5"/>
    </row>
    <row r="46" spans="4:4" x14ac:dyDescent="0.25">
      <c r="D46" s="5"/>
    </row>
    <row r="47" spans="4:4" x14ac:dyDescent="0.25">
      <c r="D47" s="5"/>
    </row>
    <row r="48" spans="4:4" x14ac:dyDescent="0.25">
      <c r="D48" s="5"/>
    </row>
    <row r="49" spans="4:4" x14ac:dyDescent="0.25">
      <c r="D49" s="5"/>
    </row>
    <row r="50" spans="4:4" x14ac:dyDescent="0.25">
      <c r="D50" s="5"/>
    </row>
    <row r="51" spans="4:4" x14ac:dyDescent="0.25">
      <c r="D51" s="5"/>
    </row>
    <row r="52" spans="4:4" x14ac:dyDescent="0.25">
      <c r="D52" s="5"/>
    </row>
    <row r="53" spans="4:4" x14ac:dyDescent="0.25">
      <c r="D53" s="5"/>
    </row>
    <row r="54" spans="4:4" x14ac:dyDescent="0.25">
      <c r="D54" s="5"/>
    </row>
    <row r="55" spans="4:4" x14ac:dyDescent="0.25">
      <c r="D55" s="5"/>
    </row>
    <row r="56" spans="4:4" x14ac:dyDescent="0.25">
      <c r="D56" s="5"/>
    </row>
    <row r="57" spans="4:4" x14ac:dyDescent="0.25">
      <c r="D57" s="5"/>
    </row>
    <row r="58" spans="4:4" x14ac:dyDescent="0.25">
      <c r="D58" s="5"/>
    </row>
    <row r="59" spans="4:4" x14ac:dyDescent="0.25">
      <c r="D59" s="5"/>
    </row>
    <row r="60" spans="4:4" x14ac:dyDescent="0.25">
      <c r="D60" s="5"/>
    </row>
    <row r="61" spans="4:4" x14ac:dyDescent="0.25">
      <c r="D61" s="5"/>
    </row>
    <row r="62" spans="4:4" x14ac:dyDescent="0.25">
      <c r="D62" s="5"/>
    </row>
    <row r="63" spans="4:4" x14ac:dyDescent="0.25">
      <c r="D63" s="5"/>
    </row>
    <row r="64" spans="4:4" x14ac:dyDescent="0.25">
      <c r="D64" s="5"/>
    </row>
    <row r="65" spans="4:4" x14ac:dyDescent="0.25">
      <c r="D65" s="5"/>
    </row>
    <row r="66" spans="4:4" x14ac:dyDescent="0.25">
      <c r="D66" s="5"/>
    </row>
    <row r="67" spans="4:4" x14ac:dyDescent="0.25">
      <c r="D67" s="5"/>
    </row>
    <row r="68" spans="4:4" x14ac:dyDescent="0.25">
      <c r="D68" s="5"/>
    </row>
    <row r="69" spans="4:4" x14ac:dyDescent="0.25">
      <c r="D69" s="5"/>
    </row>
    <row r="70" spans="4:4" x14ac:dyDescent="0.25">
      <c r="D70" s="5"/>
    </row>
    <row r="71" spans="4:4" x14ac:dyDescent="0.25">
      <c r="D71" s="5"/>
    </row>
    <row r="72" spans="4:4" x14ac:dyDescent="0.25">
      <c r="D72" s="5"/>
    </row>
    <row r="73" spans="4:4" x14ac:dyDescent="0.25">
      <c r="D73" s="5"/>
    </row>
    <row r="74" spans="4:4" x14ac:dyDescent="0.25">
      <c r="D74" s="5"/>
    </row>
    <row r="75" spans="4:4" x14ac:dyDescent="0.25">
      <c r="D75" s="5"/>
    </row>
    <row r="76" spans="4:4" x14ac:dyDescent="0.25">
      <c r="D76" s="5"/>
    </row>
    <row r="77" spans="4:4" x14ac:dyDescent="0.25">
      <c r="D77" s="5"/>
    </row>
    <row r="78" spans="4:4" x14ac:dyDescent="0.25">
      <c r="D78" s="5"/>
    </row>
    <row r="79" spans="4:4" x14ac:dyDescent="0.25">
      <c r="D79" s="5"/>
    </row>
    <row r="80" spans="4:4" x14ac:dyDescent="0.25">
      <c r="D80" s="5"/>
    </row>
    <row r="81" spans="4:4" x14ac:dyDescent="0.25">
      <c r="D81" s="5"/>
    </row>
    <row r="82" spans="4:4" x14ac:dyDescent="0.25">
      <c r="D82" s="5"/>
    </row>
    <row r="83" spans="4:4" x14ac:dyDescent="0.25">
      <c r="D83" s="5"/>
    </row>
    <row r="84" spans="4:4" x14ac:dyDescent="0.25">
      <c r="D84" s="5"/>
    </row>
    <row r="85" spans="4:4" x14ac:dyDescent="0.25">
      <c r="D85" s="5"/>
    </row>
    <row r="86" spans="4:4" x14ac:dyDescent="0.25">
      <c r="D86" s="5"/>
    </row>
    <row r="87" spans="4:4" x14ac:dyDescent="0.25">
      <c r="D87" s="5"/>
    </row>
    <row r="88" spans="4:4" x14ac:dyDescent="0.25">
      <c r="D88" s="5"/>
    </row>
    <row r="89" spans="4:4" x14ac:dyDescent="0.25">
      <c r="D89" s="5"/>
    </row>
    <row r="90" spans="4:4" x14ac:dyDescent="0.25">
      <c r="D90" s="5"/>
    </row>
    <row r="91" spans="4:4" x14ac:dyDescent="0.25">
      <c r="D91" s="5"/>
    </row>
    <row r="92" spans="4:4" x14ac:dyDescent="0.25">
      <c r="D92" s="5"/>
    </row>
    <row r="93" spans="4:4" x14ac:dyDescent="0.25">
      <c r="D93" s="5"/>
    </row>
    <row r="94" spans="4:4" x14ac:dyDescent="0.25">
      <c r="D94" s="5"/>
    </row>
    <row r="95" spans="4:4" x14ac:dyDescent="0.25">
      <c r="D95" s="5"/>
    </row>
    <row r="96" spans="4:4" x14ac:dyDescent="0.25">
      <c r="D96" s="5"/>
    </row>
    <row r="97" spans="4:4" x14ac:dyDescent="0.25">
      <c r="D97" s="5"/>
    </row>
    <row r="98" spans="4:4" x14ac:dyDescent="0.25">
      <c r="D98" s="5"/>
    </row>
    <row r="99" spans="4:4" x14ac:dyDescent="0.25">
      <c r="D99" s="5"/>
    </row>
    <row r="100" spans="4:4" x14ac:dyDescent="0.25">
      <c r="D100" s="5"/>
    </row>
    <row r="101" spans="4:4" x14ac:dyDescent="0.25">
      <c r="D101" s="5"/>
    </row>
    <row r="102" spans="4:4" x14ac:dyDescent="0.25">
      <c r="D102" s="5"/>
    </row>
    <row r="103" spans="4:4" x14ac:dyDescent="0.25">
      <c r="D103" s="5"/>
    </row>
    <row r="104" spans="4:4" x14ac:dyDescent="0.25">
      <c r="D104" s="5"/>
    </row>
    <row r="105" spans="4:4" x14ac:dyDescent="0.25">
      <c r="D105" s="5"/>
    </row>
    <row r="106" spans="4:4" x14ac:dyDescent="0.25">
      <c r="D106" s="5"/>
    </row>
    <row r="107" spans="4:4" x14ac:dyDescent="0.25">
      <c r="D107" s="5"/>
    </row>
    <row r="108" spans="4:4" x14ac:dyDescent="0.25">
      <c r="D108" s="5"/>
    </row>
    <row r="109" spans="4:4" x14ac:dyDescent="0.25">
      <c r="D109" s="5"/>
    </row>
    <row r="110" spans="4:4" x14ac:dyDescent="0.25">
      <c r="D110" s="5"/>
    </row>
    <row r="111" spans="4:4" x14ac:dyDescent="0.25">
      <c r="D111" s="5"/>
    </row>
    <row r="112" spans="4:4" x14ac:dyDescent="0.25">
      <c r="D112" s="5"/>
    </row>
    <row r="113" spans="4:4" x14ac:dyDescent="0.25">
      <c r="D113" s="5"/>
    </row>
    <row r="114" spans="4:4" x14ac:dyDescent="0.25">
      <c r="D114" s="5"/>
    </row>
    <row r="115" spans="4:4" x14ac:dyDescent="0.25">
      <c r="D115" s="5"/>
    </row>
    <row r="116" spans="4:4" x14ac:dyDescent="0.25">
      <c r="D116" s="5"/>
    </row>
    <row r="117" spans="4:4" x14ac:dyDescent="0.25">
      <c r="D117" s="5"/>
    </row>
    <row r="118" spans="4:4" x14ac:dyDescent="0.25">
      <c r="D118" s="5"/>
    </row>
    <row r="119" spans="4:4" x14ac:dyDescent="0.25">
      <c r="D119" s="5"/>
    </row>
    <row r="120" spans="4:4" x14ac:dyDescent="0.25">
      <c r="D120" s="5"/>
    </row>
    <row r="121" spans="4:4" x14ac:dyDescent="0.25">
      <c r="D121" s="5"/>
    </row>
    <row r="122" spans="4:4" x14ac:dyDescent="0.25">
      <c r="D122" s="5"/>
    </row>
    <row r="123" spans="4:4" x14ac:dyDescent="0.25">
      <c r="D123" s="5"/>
    </row>
    <row r="124" spans="4:4" x14ac:dyDescent="0.25">
      <c r="D124" s="5"/>
    </row>
    <row r="125" spans="4:4" x14ac:dyDescent="0.25">
      <c r="D125" s="5"/>
    </row>
    <row r="126" spans="4:4" x14ac:dyDescent="0.25">
      <c r="D126" s="5"/>
    </row>
    <row r="127" spans="4:4" x14ac:dyDescent="0.25">
      <c r="D127" s="5"/>
    </row>
    <row r="128" spans="4:4" x14ac:dyDescent="0.25">
      <c r="D128" s="5"/>
    </row>
    <row r="129" spans="4:4" x14ac:dyDescent="0.25">
      <c r="D129" s="5"/>
    </row>
    <row r="130" spans="4:4" x14ac:dyDescent="0.25">
      <c r="D130" s="5"/>
    </row>
    <row r="131" spans="4:4" x14ac:dyDescent="0.25">
      <c r="D131" s="5"/>
    </row>
    <row r="132" spans="4:4" x14ac:dyDescent="0.25">
      <c r="D132" s="5"/>
    </row>
    <row r="133" spans="4:4" x14ac:dyDescent="0.25">
      <c r="D133" s="5"/>
    </row>
    <row r="134" spans="4:4" x14ac:dyDescent="0.25">
      <c r="D134" s="5"/>
    </row>
    <row r="135" spans="4:4" x14ac:dyDescent="0.25">
      <c r="D135" s="5"/>
    </row>
    <row r="136" spans="4:4" x14ac:dyDescent="0.25">
      <c r="D136" s="5"/>
    </row>
    <row r="137" spans="4:4" x14ac:dyDescent="0.25">
      <c r="D137" s="5"/>
    </row>
    <row r="138" spans="4:4" x14ac:dyDescent="0.25">
      <c r="D138" s="5"/>
    </row>
    <row r="139" spans="4:4" x14ac:dyDescent="0.25">
      <c r="D139" s="5"/>
    </row>
    <row r="140" spans="4:4" x14ac:dyDescent="0.25">
      <c r="D140" s="5"/>
    </row>
    <row r="141" spans="4:4" x14ac:dyDescent="0.25">
      <c r="D141" s="5"/>
    </row>
    <row r="142" spans="4:4" x14ac:dyDescent="0.25">
      <c r="D142" s="5"/>
    </row>
    <row r="143" spans="4:4" x14ac:dyDescent="0.25">
      <c r="D143" s="5"/>
    </row>
    <row r="144" spans="4:4" x14ac:dyDescent="0.25">
      <c r="D144" s="5"/>
    </row>
    <row r="145" spans="4:4" x14ac:dyDescent="0.25">
      <c r="D145" s="5"/>
    </row>
    <row r="146" spans="4:4" x14ac:dyDescent="0.25">
      <c r="D146" s="5"/>
    </row>
    <row r="147" spans="4:4" x14ac:dyDescent="0.25">
      <c r="D147" s="5"/>
    </row>
    <row r="148" spans="4:4" x14ac:dyDescent="0.25">
      <c r="D148" s="5"/>
    </row>
    <row r="149" spans="4:4" x14ac:dyDescent="0.25">
      <c r="D149" s="5"/>
    </row>
    <row r="150" spans="4:4" x14ac:dyDescent="0.25">
      <c r="D150" s="5"/>
    </row>
    <row r="151" spans="4:4" x14ac:dyDescent="0.25">
      <c r="D151" s="5"/>
    </row>
    <row r="152" spans="4:4" x14ac:dyDescent="0.25">
      <c r="D152" s="5"/>
    </row>
    <row r="153" spans="4:4" x14ac:dyDescent="0.25">
      <c r="D153" s="5"/>
    </row>
    <row r="154" spans="4:4" x14ac:dyDescent="0.25">
      <c r="D154" s="5"/>
    </row>
    <row r="155" spans="4:4" x14ac:dyDescent="0.25">
      <c r="D155" s="5"/>
    </row>
    <row r="156" spans="4:4" x14ac:dyDescent="0.25">
      <c r="D156" s="5"/>
    </row>
    <row r="157" spans="4:4" x14ac:dyDescent="0.25">
      <c r="D157" s="5"/>
    </row>
    <row r="158" spans="4:4" x14ac:dyDescent="0.25">
      <c r="D158" s="5"/>
    </row>
    <row r="159" spans="4:4" x14ac:dyDescent="0.25">
      <c r="D159" s="5"/>
    </row>
    <row r="160" spans="4:4" x14ac:dyDescent="0.25">
      <c r="D160" s="5"/>
    </row>
    <row r="161" spans="4:4" x14ac:dyDescent="0.25">
      <c r="D161" s="5"/>
    </row>
    <row r="162" spans="4:4" x14ac:dyDescent="0.25">
      <c r="D162" s="5"/>
    </row>
    <row r="163" spans="4:4" x14ac:dyDescent="0.25">
      <c r="D163" s="5"/>
    </row>
    <row r="164" spans="4:4" x14ac:dyDescent="0.25">
      <c r="D164" s="5"/>
    </row>
    <row r="165" spans="4:4" x14ac:dyDescent="0.25">
      <c r="D165" s="5"/>
    </row>
    <row r="166" spans="4:4" x14ac:dyDescent="0.25">
      <c r="D166" s="5"/>
    </row>
    <row r="167" spans="4:4" x14ac:dyDescent="0.25">
      <c r="D167" s="5"/>
    </row>
    <row r="168" spans="4:4" x14ac:dyDescent="0.25">
      <c r="D168" s="5"/>
    </row>
    <row r="169" spans="4:4" x14ac:dyDescent="0.25">
      <c r="D169" s="5"/>
    </row>
    <row r="170" spans="4:4" x14ac:dyDescent="0.25">
      <c r="D170" s="5"/>
    </row>
    <row r="171" spans="4:4" x14ac:dyDescent="0.25">
      <c r="D171" s="5"/>
    </row>
    <row r="172" spans="4:4" x14ac:dyDescent="0.25">
      <c r="D172" s="5"/>
    </row>
    <row r="173" spans="4:4" x14ac:dyDescent="0.25">
      <c r="D173" s="5"/>
    </row>
    <row r="174" spans="4:4" x14ac:dyDescent="0.25">
      <c r="D174" s="5"/>
    </row>
    <row r="175" spans="4:4" x14ac:dyDescent="0.25">
      <c r="D175" s="5"/>
    </row>
    <row r="176" spans="4:4" x14ac:dyDescent="0.25">
      <c r="D176" s="5"/>
    </row>
    <row r="177" spans="4:4" x14ac:dyDescent="0.25">
      <c r="D177" s="5"/>
    </row>
    <row r="178" spans="4:4" x14ac:dyDescent="0.25">
      <c r="D178" s="5"/>
    </row>
    <row r="179" spans="4:4" x14ac:dyDescent="0.25">
      <c r="D179" s="5"/>
    </row>
    <row r="180" spans="4:4" x14ac:dyDescent="0.25">
      <c r="D180" s="5"/>
    </row>
    <row r="181" spans="4:4" x14ac:dyDescent="0.25">
      <c r="D181" s="5"/>
    </row>
    <row r="182" spans="4:4" x14ac:dyDescent="0.25">
      <c r="D182" s="5"/>
    </row>
    <row r="183" spans="4:4" x14ac:dyDescent="0.25">
      <c r="D183" s="5"/>
    </row>
    <row r="184" spans="4:4" x14ac:dyDescent="0.25">
      <c r="D184" s="5"/>
    </row>
    <row r="185" spans="4:4" x14ac:dyDescent="0.25">
      <c r="D185" s="5"/>
    </row>
    <row r="186" spans="4:4" x14ac:dyDescent="0.25">
      <c r="D186" s="5"/>
    </row>
    <row r="187" spans="4:4" x14ac:dyDescent="0.25">
      <c r="D187" s="5"/>
    </row>
    <row r="188" spans="4:4" x14ac:dyDescent="0.25">
      <c r="D188" s="5"/>
    </row>
    <row r="189" spans="4:4" x14ac:dyDescent="0.25">
      <c r="D189" s="5"/>
    </row>
    <row r="190" spans="4:4" x14ac:dyDescent="0.25">
      <c r="D190" s="5"/>
    </row>
    <row r="191" spans="4:4" x14ac:dyDescent="0.25">
      <c r="D191" s="5"/>
    </row>
    <row r="192" spans="4:4" x14ac:dyDescent="0.25">
      <c r="D192" s="5"/>
    </row>
    <row r="193" spans="4:4" x14ac:dyDescent="0.25">
      <c r="D193" s="5"/>
    </row>
    <row r="194" spans="4:4" x14ac:dyDescent="0.25">
      <c r="D194" s="5"/>
    </row>
    <row r="195" spans="4:4" x14ac:dyDescent="0.25">
      <c r="D195" s="5"/>
    </row>
    <row r="196" spans="4:4" x14ac:dyDescent="0.25">
      <c r="D196" s="5"/>
    </row>
    <row r="197" spans="4:4" x14ac:dyDescent="0.25">
      <c r="D197" s="5"/>
    </row>
    <row r="198" spans="4:4" x14ac:dyDescent="0.25">
      <c r="D198" s="5"/>
    </row>
    <row r="199" spans="4:4" x14ac:dyDescent="0.25">
      <c r="D199" s="5"/>
    </row>
    <row r="200" spans="4:4" x14ac:dyDescent="0.25">
      <c r="D200" s="5"/>
    </row>
    <row r="201" spans="4:4" x14ac:dyDescent="0.25">
      <c r="D201" s="5"/>
    </row>
    <row r="202" spans="4:4" x14ac:dyDescent="0.25">
      <c r="D202" s="5"/>
    </row>
    <row r="203" spans="4:4" x14ac:dyDescent="0.25">
      <c r="D203" s="5"/>
    </row>
    <row r="204" spans="4:4" x14ac:dyDescent="0.25">
      <c r="D204" s="5"/>
    </row>
    <row r="205" spans="4:4" x14ac:dyDescent="0.25">
      <c r="D205" s="5"/>
    </row>
    <row r="206" spans="4:4" x14ac:dyDescent="0.25">
      <c r="D206" s="5"/>
    </row>
    <row r="207" spans="4:4" x14ac:dyDescent="0.25">
      <c r="D207" s="5"/>
    </row>
    <row r="208" spans="4:4" x14ac:dyDescent="0.25">
      <c r="D208" s="5"/>
    </row>
    <row r="209" spans="4:4" x14ac:dyDescent="0.25">
      <c r="D209" s="5"/>
    </row>
    <row r="210" spans="4:4" x14ac:dyDescent="0.25">
      <c r="D210" s="5"/>
    </row>
    <row r="211" spans="4:4" x14ac:dyDescent="0.25">
      <c r="D211" s="5"/>
    </row>
    <row r="212" spans="4:4" x14ac:dyDescent="0.25">
      <c r="D212" s="5"/>
    </row>
    <row r="213" spans="4:4" x14ac:dyDescent="0.25">
      <c r="D213" s="5"/>
    </row>
    <row r="214" spans="4:4" x14ac:dyDescent="0.25">
      <c r="D214" s="5"/>
    </row>
    <row r="215" spans="4:4" x14ac:dyDescent="0.25">
      <c r="D215" s="5"/>
    </row>
    <row r="216" spans="4:4" x14ac:dyDescent="0.25">
      <c r="D216" s="5"/>
    </row>
    <row r="217" spans="4:4" x14ac:dyDescent="0.25">
      <c r="D217" s="5"/>
    </row>
    <row r="218" spans="4:4" x14ac:dyDescent="0.25">
      <c r="D218" s="5"/>
    </row>
    <row r="219" spans="4:4" x14ac:dyDescent="0.25">
      <c r="D219" s="5"/>
    </row>
    <row r="220" spans="4:4" x14ac:dyDescent="0.25">
      <c r="D220" s="5"/>
    </row>
    <row r="221" spans="4:4" x14ac:dyDescent="0.25">
      <c r="D221" s="5"/>
    </row>
    <row r="222" spans="4:4" x14ac:dyDescent="0.25">
      <c r="D222" s="5"/>
    </row>
    <row r="223" spans="4:4" x14ac:dyDescent="0.25">
      <c r="D223" s="5"/>
    </row>
    <row r="224" spans="4:4" x14ac:dyDescent="0.25">
      <c r="D224" s="5"/>
    </row>
    <row r="225" spans="4:4" x14ac:dyDescent="0.25">
      <c r="D225" s="5"/>
    </row>
    <row r="226" spans="4:4" x14ac:dyDescent="0.25">
      <c r="D226" s="5"/>
    </row>
    <row r="227" spans="4:4" x14ac:dyDescent="0.25">
      <c r="D227" s="5"/>
    </row>
    <row r="228" spans="4:4" x14ac:dyDescent="0.25">
      <c r="D228" s="5"/>
    </row>
    <row r="229" spans="4:4" x14ac:dyDescent="0.25">
      <c r="D229" s="5"/>
    </row>
    <row r="230" spans="4:4" x14ac:dyDescent="0.25">
      <c r="D230" s="5"/>
    </row>
    <row r="231" spans="4:4" x14ac:dyDescent="0.25">
      <c r="D231" s="5"/>
    </row>
    <row r="232" spans="4:4" x14ac:dyDescent="0.25">
      <c r="D232" s="5"/>
    </row>
    <row r="233" spans="4:4" x14ac:dyDescent="0.25">
      <c r="D233" s="5"/>
    </row>
    <row r="234" spans="4:4" x14ac:dyDescent="0.25">
      <c r="D234" s="5"/>
    </row>
    <row r="235" spans="4:4" x14ac:dyDescent="0.25">
      <c r="D235" s="5"/>
    </row>
    <row r="236" spans="4:4" x14ac:dyDescent="0.25">
      <c r="D236" s="5"/>
    </row>
    <row r="237" spans="4:4" x14ac:dyDescent="0.25">
      <c r="D237" s="5"/>
    </row>
    <row r="238" spans="4:4" x14ac:dyDescent="0.25">
      <c r="D238" s="5"/>
    </row>
    <row r="239" spans="4:4" x14ac:dyDescent="0.25">
      <c r="D239" s="5"/>
    </row>
    <row r="240" spans="4:4" x14ac:dyDescent="0.25">
      <c r="D240" s="5"/>
    </row>
    <row r="241" spans="4:4" x14ac:dyDescent="0.25">
      <c r="D241" s="5"/>
    </row>
    <row r="242" spans="4:4" x14ac:dyDescent="0.25">
      <c r="D242" s="5"/>
    </row>
    <row r="243" spans="4:4" x14ac:dyDescent="0.25">
      <c r="D243" s="5"/>
    </row>
    <row r="244" spans="4:4" x14ac:dyDescent="0.25">
      <c r="D244" s="5"/>
    </row>
    <row r="245" spans="4:4" x14ac:dyDescent="0.25">
      <c r="D245" s="5"/>
    </row>
    <row r="246" spans="4:4" x14ac:dyDescent="0.25">
      <c r="D246" s="5"/>
    </row>
    <row r="247" spans="4:4" x14ac:dyDescent="0.25">
      <c r="D247" s="5"/>
    </row>
    <row r="248" spans="4:4" x14ac:dyDescent="0.25">
      <c r="D248" s="5"/>
    </row>
    <row r="249" spans="4:4" x14ac:dyDescent="0.25">
      <c r="D249" s="5"/>
    </row>
    <row r="250" spans="4:4" x14ac:dyDescent="0.25">
      <c r="D250" s="5"/>
    </row>
    <row r="251" spans="4:4" x14ac:dyDescent="0.25">
      <c r="D251" s="5"/>
    </row>
    <row r="252" spans="4:4" x14ac:dyDescent="0.25">
      <c r="D252" s="5"/>
    </row>
    <row r="253" spans="4:4" x14ac:dyDescent="0.25">
      <c r="D253" s="5"/>
    </row>
    <row r="254" spans="4:4" x14ac:dyDescent="0.25">
      <c r="D254" s="5"/>
    </row>
    <row r="255" spans="4:4" x14ac:dyDescent="0.25">
      <c r="D255" s="5"/>
    </row>
    <row r="256" spans="4:4" x14ac:dyDescent="0.25">
      <c r="D256" s="5"/>
    </row>
    <row r="257" spans="4:4" x14ac:dyDescent="0.25">
      <c r="D257" s="5"/>
    </row>
    <row r="258" spans="4:4" x14ac:dyDescent="0.25">
      <c r="D258" s="5"/>
    </row>
    <row r="259" spans="4:4" x14ac:dyDescent="0.25">
      <c r="D259" s="5"/>
    </row>
    <row r="260" spans="4:4" x14ac:dyDescent="0.25">
      <c r="D260" s="5"/>
    </row>
    <row r="261" spans="4:4" x14ac:dyDescent="0.25">
      <c r="D261" s="5"/>
    </row>
    <row r="262" spans="4:4" x14ac:dyDescent="0.25">
      <c r="D262" s="5"/>
    </row>
    <row r="263" spans="4:4" x14ac:dyDescent="0.25">
      <c r="D263" s="5"/>
    </row>
    <row r="264" spans="4:4" x14ac:dyDescent="0.25">
      <c r="D264" s="5"/>
    </row>
    <row r="265" spans="4:4" x14ac:dyDescent="0.25">
      <c r="D265" s="5"/>
    </row>
    <row r="266" spans="4:4" x14ac:dyDescent="0.25">
      <c r="D266" s="5"/>
    </row>
    <row r="267" spans="4:4" x14ac:dyDescent="0.25">
      <c r="D267" s="5"/>
    </row>
    <row r="268" spans="4:4" x14ac:dyDescent="0.25">
      <c r="D268" s="5"/>
    </row>
    <row r="269" spans="4:4" x14ac:dyDescent="0.25">
      <c r="D269" s="5"/>
    </row>
    <row r="270" spans="4:4" x14ac:dyDescent="0.25">
      <c r="D270" s="5"/>
    </row>
    <row r="271" spans="4:4" x14ac:dyDescent="0.25">
      <c r="D271" s="5"/>
    </row>
    <row r="272" spans="4:4" x14ac:dyDescent="0.25">
      <c r="D272" s="5"/>
    </row>
    <row r="273" spans="4:4" x14ac:dyDescent="0.25">
      <c r="D273" s="5"/>
    </row>
    <row r="274" spans="4:4" x14ac:dyDescent="0.25">
      <c r="D274" s="5"/>
    </row>
    <row r="275" spans="4:4" x14ac:dyDescent="0.25">
      <c r="D275" s="5"/>
    </row>
    <row r="276" spans="4:4" x14ac:dyDescent="0.25">
      <c r="D276" s="5"/>
    </row>
    <row r="277" spans="4:4" x14ac:dyDescent="0.25">
      <c r="D277" s="5"/>
    </row>
    <row r="278" spans="4:4" x14ac:dyDescent="0.25">
      <c r="D278" s="5"/>
    </row>
    <row r="279" spans="4:4" x14ac:dyDescent="0.25">
      <c r="D279" s="5"/>
    </row>
    <row r="280" spans="4:4" x14ac:dyDescent="0.25">
      <c r="D280" s="5"/>
    </row>
    <row r="281" spans="4:4" x14ac:dyDescent="0.25">
      <c r="D281" s="5"/>
    </row>
    <row r="282" spans="4:4" x14ac:dyDescent="0.25">
      <c r="D282" s="5"/>
    </row>
    <row r="283" spans="4:4" x14ac:dyDescent="0.25">
      <c r="D283" s="5"/>
    </row>
    <row r="284" spans="4:4" x14ac:dyDescent="0.25">
      <c r="D284" s="5"/>
    </row>
    <row r="285" spans="4:4" x14ac:dyDescent="0.25">
      <c r="D285" s="5"/>
    </row>
    <row r="286" spans="4:4" x14ac:dyDescent="0.25">
      <c r="D286" s="5"/>
    </row>
    <row r="287" spans="4:4" x14ac:dyDescent="0.25">
      <c r="D287" s="5"/>
    </row>
    <row r="288" spans="4:4" x14ac:dyDescent="0.25">
      <c r="D288" s="5"/>
    </row>
    <row r="289" spans="4:4" x14ac:dyDescent="0.25">
      <c r="D289" s="5"/>
    </row>
    <row r="290" spans="4:4" x14ac:dyDescent="0.25">
      <c r="D290" s="5"/>
    </row>
    <row r="291" spans="4:4" x14ac:dyDescent="0.25">
      <c r="D291" s="5"/>
    </row>
    <row r="292" spans="4:4" x14ac:dyDescent="0.25">
      <c r="D292" s="5"/>
    </row>
    <row r="293" spans="4:4" x14ac:dyDescent="0.25">
      <c r="D293" s="5"/>
    </row>
    <row r="294" spans="4:4" x14ac:dyDescent="0.25">
      <c r="D294" s="5"/>
    </row>
    <row r="295" spans="4:4" x14ac:dyDescent="0.25">
      <c r="D295" s="5"/>
    </row>
    <row r="296" spans="4:4" x14ac:dyDescent="0.25">
      <c r="D296" s="5"/>
    </row>
    <row r="297" spans="4:4" x14ac:dyDescent="0.25">
      <c r="D297" s="5"/>
    </row>
    <row r="298" spans="4:4" x14ac:dyDescent="0.25">
      <c r="D298" s="5"/>
    </row>
    <row r="299" spans="4:4" x14ac:dyDescent="0.25">
      <c r="D299" s="5"/>
    </row>
    <row r="300" spans="4:4" x14ac:dyDescent="0.25">
      <c r="D300" s="5"/>
    </row>
    <row r="301" spans="4:4" x14ac:dyDescent="0.25">
      <c r="D301" s="5"/>
    </row>
    <row r="302" spans="4:4" x14ac:dyDescent="0.25">
      <c r="D302" s="5"/>
    </row>
    <row r="303" spans="4:4" x14ac:dyDescent="0.25">
      <c r="D303" s="5"/>
    </row>
    <row r="304" spans="4:4" x14ac:dyDescent="0.25">
      <c r="D304" s="5"/>
    </row>
    <row r="305" spans="4:4" x14ac:dyDescent="0.25">
      <c r="D305" s="5"/>
    </row>
    <row r="306" spans="4:4" x14ac:dyDescent="0.25">
      <c r="D306" s="5"/>
    </row>
    <row r="307" spans="4:4" x14ac:dyDescent="0.25">
      <c r="D307" s="5"/>
    </row>
    <row r="308" spans="4:4" x14ac:dyDescent="0.25">
      <c r="D308" s="5"/>
    </row>
    <row r="309" spans="4:4" x14ac:dyDescent="0.25">
      <c r="D309" s="5"/>
    </row>
    <row r="310" spans="4:4" x14ac:dyDescent="0.25">
      <c r="D310" s="5"/>
    </row>
    <row r="311" spans="4:4" x14ac:dyDescent="0.25">
      <c r="D311" s="5"/>
    </row>
    <row r="312" spans="4:4" x14ac:dyDescent="0.25">
      <c r="D312" s="5"/>
    </row>
    <row r="313" spans="4:4" x14ac:dyDescent="0.25">
      <c r="D313" s="5"/>
    </row>
    <row r="314" spans="4:4" x14ac:dyDescent="0.25">
      <c r="D314" s="5"/>
    </row>
    <row r="315" spans="4:4" x14ac:dyDescent="0.25">
      <c r="D315" s="5"/>
    </row>
    <row r="316" spans="4:4" x14ac:dyDescent="0.25">
      <c r="D316" s="5"/>
    </row>
    <row r="317" spans="4:4" x14ac:dyDescent="0.25">
      <c r="D317" s="5"/>
    </row>
    <row r="318" spans="4:4" x14ac:dyDescent="0.25">
      <c r="D318" s="5"/>
    </row>
    <row r="319" spans="4:4" x14ac:dyDescent="0.25">
      <c r="D319" s="5"/>
    </row>
    <row r="320" spans="4:4" x14ac:dyDescent="0.25">
      <c r="D320" s="5"/>
    </row>
    <row r="321" spans="4:4" x14ac:dyDescent="0.25">
      <c r="D321" s="5"/>
    </row>
    <row r="322" spans="4:4" x14ac:dyDescent="0.25">
      <c r="D322" s="5"/>
    </row>
    <row r="323" spans="4:4" x14ac:dyDescent="0.25">
      <c r="D323" s="5"/>
    </row>
    <row r="324" spans="4:4" x14ac:dyDescent="0.25">
      <c r="D324" s="5"/>
    </row>
    <row r="325" spans="4:4" x14ac:dyDescent="0.25">
      <c r="D325" s="5"/>
    </row>
    <row r="326" spans="4:4" x14ac:dyDescent="0.25">
      <c r="D326" s="5"/>
    </row>
    <row r="327" spans="4:4" x14ac:dyDescent="0.25">
      <c r="D327" s="5"/>
    </row>
    <row r="328" spans="4:4" x14ac:dyDescent="0.25">
      <c r="D328" s="5"/>
    </row>
    <row r="329" spans="4:4" x14ac:dyDescent="0.25">
      <c r="D329" s="5"/>
    </row>
    <row r="330" spans="4:4" x14ac:dyDescent="0.25">
      <c r="D330" s="5"/>
    </row>
    <row r="331" spans="4:4" x14ac:dyDescent="0.25">
      <c r="D331" s="5"/>
    </row>
    <row r="332" spans="4:4" x14ac:dyDescent="0.25">
      <c r="D332" s="5"/>
    </row>
    <row r="333" spans="4:4" x14ac:dyDescent="0.25">
      <c r="D333" s="5"/>
    </row>
    <row r="334" spans="4:4" x14ac:dyDescent="0.25">
      <c r="D334" s="5"/>
    </row>
    <row r="335" spans="4:4" x14ac:dyDescent="0.25">
      <c r="D335" s="5"/>
    </row>
    <row r="336" spans="4:4" x14ac:dyDescent="0.25">
      <c r="D336" s="5"/>
    </row>
    <row r="337" spans="4:4" x14ac:dyDescent="0.25">
      <c r="D337" s="5"/>
    </row>
    <row r="338" spans="4:4" x14ac:dyDescent="0.25">
      <c r="D338" s="5"/>
    </row>
    <row r="339" spans="4:4" x14ac:dyDescent="0.25">
      <c r="D339" s="5"/>
    </row>
    <row r="340" spans="4:4" x14ac:dyDescent="0.25">
      <c r="D340" s="5"/>
    </row>
    <row r="341" spans="4:4" x14ac:dyDescent="0.25">
      <c r="D341" s="5"/>
    </row>
    <row r="342" spans="4:4" x14ac:dyDescent="0.25">
      <c r="D342" s="5"/>
    </row>
    <row r="343" spans="4:4" x14ac:dyDescent="0.25">
      <c r="D343" s="5"/>
    </row>
    <row r="344" spans="4:4" x14ac:dyDescent="0.25">
      <c r="D344" s="5"/>
    </row>
    <row r="345" spans="4:4" x14ac:dyDescent="0.25">
      <c r="D345" s="5"/>
    </row>
    <row r="346" spans="4:4" x14ac:dyDescent="0.25">
      <c r="D346" s="5"/>
    </row>
    <row r="347" spans="4:4" x14ac:dyDescent="0.25">
      <c r="D347" s="5"/>
    </row>
    <row r="348" spans="4:4" x14ac:dyDescent="0.25">
      <c r="D348" s="5"/>
    </row>
    <row r="349" spans="4:4" x14ac:dyDescent="0.25">
      <c r="D349" s="5"/>
    </row>
    <row r="350" spans="4:4" x14ac:dyDescent="0.25">
      <c r="D350" s="5"/>
    </row>
    <row r="351" spans="4:4" x14ac:dyDescent="0.25">
      <c r="D351" s="5"/>
    </row>
    <row r="352" spans="4:4" x14ac:dyDescent="0.25">
      <c r="D352" s="5"/>
    </row>
    <row r="353" spans="4:4" x14ac:dyDescent="0.25">
      <c r="D353" s="5"/>
    </row>
    <row r="354" spans="4:4" x14ac:dyDescent="0.25">
      <c r="D354" s="5"/>
    </row>
    <row r="355" spans="4:4" x14ac:dyDescent="0.25">
      <c r="D355" s="5"/>
    </row>
    <row r="356" spans="4:4" x14ac:dyDescent="0.25">
      <c r="D356" s="5"/>
    </row>
    <row r="357" spans="4:4" x14ac:dyDescent="0.25">
      <c r="D357" s="5"/>
    </row>
    <row r="358" spans="4:4" x14ac:dyDescent="0.25">
      <c r="D358" s="5"/>
    </row>
    <row r="359" spans="4:4" x14ac:dyDescent="0.25">
      <c r="D359" s="5"/>
    </row>
    <row r="360" spans="4:4" x14ac:dyDescent="0.25">
      <c r="D360" s="5"/>
    </row>
    <row r="361" spans="4:4" x14ac:dyDescent="0.25">
      <c r="D361" s="5"/>
    </row>
    <row r="362" spans="4:4" x14ac:dyDescent="0.25">
      <c r="D362" s="5"/>
    </row>
    <row r="363" spans="4:4" x14ac:dyDescent="0.25">
      <c r="D363" s="5"/>
    </row>
    <row r="364" spans="4:4" x14ac:dyDescent="0.25">
      <c r="D364" s="5"/>
    </row>
    <row r="365" spans="4:4" x14ac:dyDescent="0.25">
      <c r="D365" s="5"/>
    </row>
    <row r="366" spans="4:4" x14ac:dyDescent="0.25">
      <c r="D366" s="5"/>
    </row>
    <row r="367" spans="4:4" x14ac:dyDescent="0.25">
      <c r="D367" s="5"/>
    </row>
    <row r="368" spans="4:4" x14ac:dyDescent="0.25">
      <c r="D368" s="5"/>
    </row>
    <row r="369" spans="4:4" x14ac:dyDescent="0.25">
      <c r="D369" s="5"/>
    </row>
    <row r="370" spans="4:4" x14ac:dyDescent="0.25">
      <c r="D370" s="5"/>
    </row>
    <row r="371" spans="4:4" x14ac:dyDescent="0.25">
      <c r="D371" s="5"/>
    </row>
    <row r="372" spans="4:4" x14ac:dyDescent="0.25">
      <c r="D372" s="5"/>
    </row>
    <row r="373" spans="4:4" x14ac:dyDescent="0.25">
      <c r="D373" s="5"/>
    </row>
    <row r="374" spans="4:4" x14ac:dyDescent="0.25">
      <c r="D374" s="5"/>
    </row>
    <row r="375" spans="4:4" x14ac:dyDescent="0.25">
      <c r="D375" s="5"/>
    </row>
    <row r="376" spans="4:4" x14ac:dyDescent="0.25">
      <c r="D376" s="5"/>
    </row>
    <row r="377" spans="4:4" x14ac:dyDescent="0.25">
      <c r="D377" s="5"/>
    </row>
    <row r="378" spans="4:4" x14ac:dyDescent="0.25">
      <c r="D378" s="5"/>
    </row>
    <row r="379" spans="4:4" x14ac:dyDescent="0.25">
      <c r="D379" s="5"/>
    </row>
    <row r="380" spans="4:4" x14ac:dyDescent="0.25">
      <c r="D380" s="5"/>
    </row>
    <row r="381" spans="4:4" x14ac:dyDescent="0.25">
      <c r="D381" s="5"/>
    </row>
    <row r="382" spans="4:4" x14ac:dyDescent="0.25">
      <c r="D382" s="5"/>
    </row>
    <row r="383" spans="4:4" x14ac:dyDescent="0.25">
      <c r="D383" s="5"/>
    </row>
    <row r="384" spans="4:4" x14ac:dyDescent="0.25">
      <c r="D384" s="5"/>
    </row>
    <row r="385" spans="4:4" x14ac:dyDescent="0.25">
      <c r="D385" s="5"/>
    </row>
    <row r="386" spans="4:4" x14ac:dyDescent="0.25">
      <c r="D386" s="5"/>
    </row>
    <row r="387" spans="4:4" x14ac:dyDescent="0.25">
      <c r="D387" s="5"/>
    </row>
    <row r="388" spans="4:4" x14ac:dyDescent="0.25">
      <c r="D388" s="5"/>
    </row>
    <row r="389" spans="4:4" x14ac:dyDescent="0.25">
      <c r="D389" s="5"/>
    </row>
    <row r="390" spans="4:4" x14ac:dyDescent="0.25">
      <c r="D390" s="5"/>
    </row>
    <row r="391" spans="4:4" x14ac:dyDescent="0.25">
      <c r="D391" s="5"/>
    </row>
    <row r="392" spans="4:4" x14ac:dyDescent="0.25">
      <c r="D392" s="5"/>
    </row>
    <row r="393" spans="4:4" x14ac:dyDescent="0.25">
      <c r="D393" s="5"/>
    </row>
    <row r="394" spans="4:4" x14ac:dyDescent="0.25">
      <c r="D394" s="5"/>
    </row>
    <row r="395" spans="4:4" x14ac:dyDescent="0.25">
      <c r="D395" s="5"/>
    </row>
    <row r="396" spans="4:4" x14ac:dyDescent="0.25">
      <c r="D396" s="5"/>
    </row>
    <row r="397" spans="4:4" x14ac:dyDescent="0.25">
      <c r="D397" s="5"/>
    </row>
    <row r="398" spans="4:4" x14ac:dyDescent="0.25">
      <c r="D398" s="5"/>
    </row>
    <row r="399" spans="4:4" x14ac:dyDescent="0.25">
      <c r="D399" s="5"/>
    </row>
    <row r="400" spans="4:4" x14ac:dyDescent="0.25">
      <c r="D400" s="5"/>
    </row>
    <row r="401" spans="4:4" x14ac:dyDescent="0.25">
      <c r="D401" s="5"/>
    </row>
    <row r="402" spans="4:4" x14ac:dyDescent="0.25">
      <c r="D402" s="5"/>
    </row>
    <row r="403" spans="4:4" x14ac:dyDescent="0.25">
      <c r="D403" s="5"/>
    </row>
    <row r="404" spans="4:4" x14ac:dyDescent="0.25">
      <c r="D404" s="5"/>
    </row>
    <row r="405" spans="4:4" x14ac:dyDescent="0.25">
      <c r="D405" s="5"/>
    </row>
    <row r="406" spans="4:4" x14ac:dyDescent="0.25">
      <c r="D406" s="5"/>
    </row>
    <row r="407" spans="4:4" x14ac:dyDescent="0.25">
      <c r="D407" s="5"/>
    </row>
    <row r="408" spans="4:4" x14ac:dyDescent="0.25">
      <c r="D408" s="5"/>
    </row>
    <row r="409" spans="4:4" x14ac:dyDescent="0.25">
      <c r="D409" s="5"/>
    </row>
    <row r="410" spans="4:4" x14ac:dyDescent="0.25">
      <c r="D410" s="5"/>
    </row>
    <row r="411" spans="4:4" x14ac:dyDescent="0.25">
      <c r="D411" s="5"/>
    </row>
    <row r="412" spans="4:4" x14ac:dyDescent="0.25">
      <c r="D412" s="5"/>
    </row>
    <row r="413" spans="4:4" x14ac:dyDescent="0.25">
      <c r="D413" s="5"/>
    </row>
    <row r="414" spans="4:4" x14ac:dyDescent="0.25">
      <c r="D414" s="5"/>
    </row>
    <row r="415" spans="4:4" x14ac:dyDescent="0.25">
      <c r="D415" s="5"/>
    </row>
    <row r="416" spans="4:4" x14ac:dyDescent="0.25">
      <c r="D416" s="5"/>
    </row>
    <row r="417" spans="4:4" x14ac:dyDescent="0.25">
      <c r="D417" s="5"/>
    </row>
    <row r="418" spans="4:4" x14ac:dyDescent="0.25">
      <c r="D418" s="5"/>
    </row>
    <row r="419" spans="4:4" x14ac:dyDescent="0.25">
      <c r="D419" s="5"/>
    </row>
    <row r="420" spans="4:4" x14ac:dyDescent="0.25">
      <c r="D420" s="5"/>
    </row>
    <row r="421" spans="4:4" x14ac:dyDescent="0.25">
      <c r="D421" s="5"/>
    </row>
    <row r="422" spans="4:4" x14ac:dyDescent="0.25">
      <c r="D422" s="5"/>
    </row>
    <row r="423" spans="4:4" x14ac:dyDescent="0.25">
      <c r="D423" s="5"/>
    </row>
    <row r="424" spans="4:4" x14ac:dyDescent="0.25">
      <c r="D424" s="5"/>
    </row>
    <row r="425" spans="4:4" x14ac:dyDescent="0.25">
      <c r="D425" s="5"/>
    </row>
    <row r="426" spans="4:4" x14ac:dyDescent="0.25">
      <c r="D426" s="5"/>
    </row>
    <row r="427" spans="4:4" x14ac:dyDescent="0.25">
      <c r="D427" s="5"/>
    </row>
    <row r="428" spans="4:4" x14ac:dyDescent="0.25">
      <c r="D428" s="5"/>
    </row>
    <row r="429" spans="4:4" x14ac:dyDescent="0.25">
      <c r="D429" s="5"/>
    </row>
    <row r="430" spans="4:4" x14ac:dyDescent="0.25">
      <c r="D430" s="5"/>
    </row>
    <row r="431" spans="4:4" x14ac:dyDescent="0.25">
      <c r="D431" s="5"/>
    </row>
    <row r="432" spans="4:4" x14ac:dyDescent="0.25">
      <c r="D432" s="5"/>
    </row>
    <row r="433" spans="4:4" x14ac:dyDescent="0.25">
      <c r="D433" s="5"/>
    </row>
    <row r="434" spans="4:4" x14ac:dyDescent="0.25">
      <c r="D434" s="5"/>
    </row>
    <row r="435" spans="4:4" x14ac:dyDescent="0.25">
      <c r="D435" s="5"/>
    </row>
    <row r="436" spans="4:4" x14ac:dyDescent="0.25">
      <c r="D436" s="5"/>
    </row>
    <row r="437" spans="4:4" x14ac:dyDescent="0.25">
      <c r="D437" s="5"/>
    </row>
    <row r="438" spans="4:4" x14ac:dyDescent="0.25">
      <c r="D438" s="5"/>
    </row>
    <row r="439" spans="4:4" x14ac:dyDescent="0.25">
      <c r="D439" s="5"/>
    </row>
    <row r="440" spans="4:4" x14ac:dyDescent="0.25">
      <c r="D440" s="5"/>
    </row>
    <row r="441" spans="4:4" x14ac:dyDescent="0.25">
      <c r="D441" s="5"/>
    </row>
    <row r="442" spans="4:4" x14ac:dyDescent="0.25">
      <c r="D442" s="5"/>
    </row>
    <row r="443" spans="4:4" x14ac:dyDescent="0.25">
      <c r="D443" s="5"/>
    </row>
    <row r="444" spans="4:4" x14ac:dyDescent="0.25">
      <c r="D444" s="5"/>
    </row>
    <row r="445" spans="4:4" x14ac:dyDescent="0.25">
      <c r="D445" s="5"/>
    </row>
    <row r="446" spans="4:4" x14ac:dyDescent="0.25">
      <c r="D446" s="5"/>
    </row>
    <row r="447" spans="4:4" x14ac:dyDescent="0.25">
      <c r="D447" s="5"/>
    </row>
    <row r="448" spans="4:4" x14ac:dyDescent="0.25">
      <c r="D448" s="5"/>
    </row>
    <row r="449" spans="4:4" x14ac:dyDescent="0.25">
      <c r="D449" s="5"/>
    </row>
    <row r="450" spans="4:4" x14ac:dyDescent="0.25">
      <c r="D450" s="5"/>
    </row>
    <row r="451" spans="4:4" x14ac:dyDescent="0.25">
      <c r="D451" s="5"/>
    </row>
    <row r="452" spans="4:4" x14ac:dyDescent="0.25">
      <c r="D452" s="5"/>
    </row>
    <row r="453" spans="4:4" x14ac:dyDescent="0.25">
      <c r="D453" s="5"/>
    </row>
    <row r="454" spans="4:4" x14ac:dyDescent="0.25">
      <c r="D454" s="5"/>
    </row>
    <row r="455" spans="4:4" x14ac:dyDescent="0.25">
      <c r="D455" s="5"/>
    </row>
    <row r="456" spans="4:4" x14ac:dyDescent="0.25">
      <c r="D456" s="5"/>
    </row>
    <row r="457" spans="4:4" x14ac:dyDescent="0.25">
      <c r="D457" s="5"/>
    </row>
    <row r="458" spans="4:4" x14ac:dyDescent="0.25">
      <c r="D458" s="5"/>
    </row>
    <row r="459" spans="4:4" x14ac:dyDescent="0.25">
      <c r="D459" s="5"/>
    </row>
    <row r="460" spans="4:4" x14ac:dyDescent="0.25">
      <c r="D460" s="5"/>
    </row>
    <row r="461" spans="4:4" x14ac:dyDescent="0.25">
      <c r="D461" s="5"/>
    </row>
    <row r="462" spans="4:4" x14ac:dyDescent="0.25">
      <c r="D462" s="5"/>
    </row>
    <row r="463" spans="4:4" x14ac:dyDescent="0.25">
      <c r="D463" s="5"/>
    </row>
    <row r="464" spans="4:4" x14ac:dyDescent="0.25">
      <c r="D464" s="5"/>
    </row>
    <row r="465" spans="4:4" x14ac:dyDescent="0.25">
      <c r="D465" s="5"/>
    </row>
    <row r="466" spans="4:4" x14ac:dyDescent="0.25">
      <c r="D466" s="5"/>
    </row>
    <row r="467" spans="4:4" x14ac:dyDescent="0.25">
      <c r="D467" s="5"/>
    </row>
    <row r="468" spans="4:4" x14ac:dyDescent="0.25">
      <c r="D468" s="5"/>
    </row>
    <row r="469" spans="4:4" x14ac:dyDescent="0.25">
      <c r="D469" s="5"/>
    </row>
    <row r="470" spans="4:4" x14ac:dyDescent="0.25">
      <c r="D470" s="5"/>
    </row>
    <row r="471" spans="4:4" x14ac:dyDescent="0.25">
      <c r="D471" s="5"/>
    </row>
    <row r="472" spans="4:4" x14ac:dyDescent="0.25">
      <c r="D472" s="5"/>
    </row>
    <row r="473" spans="4:4" x14ac:dyDescent="0.25">
      <c r="D473" s="5"/>
    </row>
    <row r="474" spans="4:4" x14ac:dyDescent="0.25">
      <c r="D474" s="5"/>
    </row>
    <row r="475" spans="4:4" x14ac:dyDescent="0.25">
      <c r="D475" s="5"/>
    </row>
    <row r="476" spans="4:4" x14ac:dyDescent="0.25">
      <c r="D476" s="5"/>
    </row>
    <row r="477" spans="4:4" x14ac:dyDescent="0.25">
      <c r="D477" s="5"/>
    </row>
    <row r="478" spans="4:4" x14ac:dyDescent="0.25">
      <c r="D478" s="5"/>
    </row>
    <row r="479" spans="4:4" x14ac:dyDescent="0.25">
      <c r="D479" s="5"/>
    </row>
    <row r="480" spans="4:4" x14ac:dyDescent="0.25">
      <c r="D480" s="5"/>
    </row>
    <row r="481" spans="4:4" x14ac:dyDescent="0.25">
      <c r="D481" s="5"/>
    </row>
    <row r="482" spans="4:4" x14ac:dyDescent="0.25">
      <c r="D482" s="5"/>
    </row>
    <row r="483" spans="4:4" x14ac:dyDescent="0.25">
      <c r="D483" s="5"/>
    </row>
    <row r="484" spans="4:4" x14ac:dyDescent="0.25">
      <c r="D484" s="5"/>
    </row>
    <row r="485" spans="4:4" x14ac:dyDescent="0.25">
      <c r="D485" s="5"/>
    </row>
    <row r="486" spans="4:4" x14ac:dyDescent="0.25">
      <c r="D486" s="5"/>
    </row>
    <row r="487" spans="4:4" x14ac:dyDescent="0.25">
      <c r="D487" s="5"/>
    </row>
    <row r="488" spans="4:4" x14ac:dyDescent="0.25">
      <c r="D488" s="5"/>
    </row>
  </sheetData>
  <phoneticPr fontId="6"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9FE3-08CF-45E6-9F47-834A032A31FD}">
  <dimension ref="A1:F16"/>
  <sheetViews>
    <sheetView workbookViewId="0">
      <selection sqref="A1:F1048576"/>
    </sheetView>
  </sheetViews>
  <sheetFormatPr baseColWidth="10" defaultRowHeight="15" x14ac:dyDescent="0.25"/>
  <cols>
    <col min="1" max="6" width="28.5703125" style="1" customWidth="1"/>
  </cols>
  <sheetData>
    <row r="1" spans="1:6" ht="54" x14ac:dyDescent="0.25">
      <c r="A1" s="13" t="s">
        <v>14</v>
      </c>
      <c r="B1" s="13" t="s">
        <v>15</v>
      </c>
      <c r="C1" s="13" t="s">
        <v>17</v>
      </c>
      <c r="D1" s="13" t="s">
        <v>21</v>
      </c>
      <c r="E1" s="13" t="s">
        <v>19</v>
      </c>
      <c r="F1" s="13" t="s">
        <v>20</v>
      </c>
    </row>
    <row r="2" spans="1:6" x14ac:dyDescent="0.25">
      <c r="A2" s="9" t="e">
        <f>#REF!</f>
        <v>#REF!</v>
      </c>
      <c r="B2" s="9" t="e">
        <f>#REF!</f>
        <v>#REF!</v>
      </c>
      <c r="C2" s="9" t="e">
        <f>#REF!</f>
        <v>#REF!</v>
      </c>
      <c r="D2" s="9" t="e">
        <f>#REF!</f>
        <v>#REF!</v>
      </c>
      <c r="E2" s="9" t="e">
        <f>#REF!</f>
        <v>#REF!</v>
      </c>
      <c r="F2" s="9" t="e">
        <f>#REF!</f>
        <v>#REF!</v>
      </c>
    </row>
    <row r="3" spans="1:6" x14ac:dyDescent="0.25">
      <c r="A3" s="9" t="e">
        <f>IF(A2&gt;='Matriz comparativa'!#REF!,"Cumple", "No cumple")</f>
        <v>#REF!</v>
      </c>
      <c r="B3" s="9" t="e">
        <f>IF(B2&gt;='Matriz comparativa'!#REF!,"Cumple", "No cumple")</f>
        <v>#REF!</v>
      </c>
      <c r="C3" s="9" t="e">
        <f>IF(C2&gt;='Matriz comparativa'!#REF!,"Cumple", "No cumple")</f>
        <v>#REF!</v>
      </c>
      <c r="D3" s="9" t="e">
        <f>IF(D2&gt;='Matriz comparativa'!#REF!,"Cumple", "No cumple")</f>
        <v>#REF!</v>
      </c>
      <c r="E3" s="9" t="e">
        <f>IF(E2&gt;='Matriz comparativa'!#REF!,"Cumple", "No cumple")</f>
        <v>#REF!</v>
      </c>
      <c r="F3" s="9" t="e">
        <f>IF(F2&gt;='Matriz comparativa'!#REF!,"Cumple", "No cumple")</f>
        <v>#REF!</v>
      </c>
    </row>
    <row r="4" spans="1:6" ht="28.5" x14ac:dyDescent="0.25">
      <c r="A4" s="4" t="s">
        <v>83</v>
      </c>
      <c r="B4" s="4" t="s">
        <v>88</v>
      </c>
      <c r="C4" s="4" t="s">
        <v>94</v>
      </c>
      <c r="D4" s="4"/>
      <c r="E4" s="4"/>
      <c r="F4" s="4"/>
    </row>
    <row r="5" spans="1:6" ht="42.75" x14ac:dyDescent="0.25">
      <c r="A5" s="4"/>
      <c r="B5" s="28" t="s">
        <v>89</v>
      </c>
      <c r="C5" s="4"/>
      <c r="D5" s="4"/>
      <c r="E5" s="4"/>
      <c r="F5" s="4"/>
    </row>
    <row r="6" spans="1:6" ht="42.75" x14ac:dyDescent="0.25">
      <c r="A6" s="4" t="s">
        <v>85</v>
      </c>
      <c r="B6" s="29" t="s">
        <v>92</v>
      </c>
      <c r="C6" s="30" t="s">
        <v>96</v>
      </c>
      <c r="D6" s="4"/>
      <c r="E6" s="4"/>
      <c r="F6" s="4"/>
    </row>
    <row r="7" spans="1:6" ht="28.5" x14ac:dyDescent="0.25">
      <c r="A7" s="4" t="s">
        <v>84</v>
      </c>
      <c r="B7" s="4" t="s">
        <v>91</v>
      </c>
      <c r="C7" s="4" t="s">
        <v>95</v>
      </c>
      <c r="D7" s="4"/>
      <c r="E7" s="4"/>
      <c r="F7" s="4"/>
    </row>
    <row r="8" spans="1:6" x14ac:dyDescent="0.25">
      <c r="A8" s="4"/>
      <c r="B8" s="4"/>
      <c r="C8" s="4"/>
      <c r="D8" s="4"/>
      <c r="E8" s="4"/>
      <c r="F8" s="4"/>
    </row>
    <row r="9" spans="1:6" ht="114" x14ac:dyDescent="0.25">
      <c r="A9" s="4" t="s">
        <v>86</v>
      </c>
      <c r="B9" s="4" t="s">
        <v>90</v>
      </c>
      <c r="C9" s="4" t="s">
        <v>97</v>
      </c>
      <c r="D9" s="4"/>
      <c r="E9" s="4"/>
      <c r="F9" s="4"/>
    </row>
    <row r="10" spans="1:6" x14ac:dyDescent="0.25">
      <c r="A10" s="4"/>
      <c r="B10" s="4"/>
      <c r="C10" s="4"/>
      <c r="D10" s="4"/>
      <c r="E10" s="4"/>
      <c r="F10" s="4"/>
    </row>
    <row r="11" spans="1:6" x14ac:dyDescent="0.25">
      <c r="A11" s="4" t="s">
        <v>11</v>
      </c>
      <c r="B11" s="4" t="s">
        <v>11</v>
      </c>
      <c r="C11" s="4" t="s">
        <v>11</v>
      </c>
      <c r="D11" s="4" t="s">
        <v>27</v>
      </c>
      <c r="E11" s="4" t="s">
        <v>36</v>
      </c>
      <c r="F11" s="4" t="s">
        <v>35</v>
      </c>
    </row>
    <row r="12" spans="1:6" x14ac:dyDescent="0.25">
      <c r="A12" s="4">
        <v>23</v>
      </c>
      <c r="B12" s="4">
        <v>24</v>
      </c>
      <c r="C12" s="4">
        <v>22</v>
      </c>
      <c r="D12" s="4">
        <v>29</v>
      </c>
      <c r="E12" s="4">
        <v>33</v>
      </c>
      <c r="F12" s="4">
        <v>30</v>
      </c>
    </row>
    <row r="13" spans="1:6" x14ac:dyDescent="0.25">
      <c r="A13" s="4">
        <v>1</v>
      </c>
      <c r="B13" s="4">
        <v>1</v>
      </c>
      <c r="C13" s="4">
        <v>1</v>
      </c>
      <c r="D13" s="4">
        <v>1</v>
      </c>
      <c r="E13" s="4">
        <v>1</v>
      </c>
      <c r="F13" s="4">
        <v>1</v>
      </c>
    </row>
    <row r="14" spans="1:6" ht="409.5" x14ac:dyDescent="0.25">
      <c r="A14" s="4" t="s">
        <v>82</v>
      </c>
      <c r="B14" s="4" t="s">
        <v>87</v>
      </c>
      <c r="C14" s="4" t="s">
        <v>93</v>
      </c>
      <c r="D14" s="4"/>
      <c r="E14" s="4"/>
      <c r="F14" s="4"/>
    </row>
    <row r="15" spans="1:6" x14ac:dyDescent="0.25">
      <c r="A15" s="4"/>
      <c r="B15" s="4"/>
      <c r="C15" s="4"/>
      <c r="D15" s="4"/>
      <c r="E15" s="4"/>
      <c r="F15" s="4"/>
    </row>
    <row r="16" spans="1:6" ht="99.75" x14ac:dyDescent="0.25">
      <c r="A16" s="1" t="s">
        <v>16</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F47E2-D6C5-4A5D-AD8E-C47F51707150}">
  <dimension ref="A1:I33"/>
  <sheetViews>
    <sheetView workbookViewId="0">
      <selection activeCell="D9" sqref="D9"/>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17.85546875" style="19" bestFit="1" customWidth="1"/>
    <col min="6" max="6" width="7.28515625" style="19" hidden="1" customWidth="1"/>
    <col min="7" max="7" width="34.28515625" style="19" customWidth="1"/>
    <col min="8" max="8" width="36.42578125" style="19" bestFit="1" customWidth="1"/>
    <col min="9" max="9" width="68.42578125" style="19" customWidth="1"/>
    <col min="10" max="16384" width="11.42578125" style="19"/>
  </cols>
  <sheetData>
    <row r="1" spans="1:9" x14ac:dyDescent="0.25">
      <c r="A1" s="17" t="s">
        <v>40</v>
      </c>
      <c r="B1" s="17" t="s">
        <v>41</v>
      </c>
      <c r="C1" s="17" t="s">
        <v>42</v>
      </c>
      <c r="D1" s="18" t="s">
        <v>23</v>
      </c>
      <c r="E1" s="18" t="s">
        <v>24</v>
      </c>
      <c r="F1" s="15" t="s">
        <v>39</v>
      </c>
      <c r="G1" s="17" t="s">
        <v>48</v>
      </c>
      <c r="H1" s="17"/>
    </row>
    <row r="2" spans="1:9" ht="28.5" x14ac:dyDescent="0.25">
      <c r="A2" s="20" t="s">
        <v>49</v>
      </c>
      <c r="B2" s="20" t="s">
        <v>2</v>
      </c>
      <c r="C2" s="20"/>
      <c r="F2" s="25">
        <v>1</v>
      </c>
      <c r="G2" s="5" t="s">
        <v>22</v>
      </c>
      <c r="I2" s="22"/>
    </row>
    <row r="3" spans="1:9" ht="57" x14ac:dyDescent="0.25">
      <c r="A3" s="20" t="s">
        <v>49</v>
      </c>
      <c r="B3" s="20" t="s">
        <v>43</v>
      </c>
      <c r="C3" s="20"/>
      <c r="F3" s="25">
        <v>1</v>
      </c>
      <c r="G3" s="5" t="s">
        <v>54</v>
      </c>
    </row>
    <row r="4" spans="1:9" ht="28.5" x14ac:dyDescent="0.25">
      <c r="A4" s="20" t="s">
        <v>49</v>
      </c>
      <c r="B4" s="20" t="s">
        <v>44</v>
      </c>
      <c r="C4" s="20"/>
      <c r="F4" s="25">
        <v>1</v>
      </c>
      <c r="G4" s="5" t="s">
        <v>56</v>
      </c>
    </row>
    <row r="5" spans="1:9" ht="28.5" x14ac:dyDescent="0.25">
      <c r="A5" s="20" t="s">
        <v>49</v>
      </c>
      <c r="B5" s="20" t="s">
        <v>47</v>
      </c>
      <c r="C5" s="20"/>
      <c r="F5" s="25">
        <v>1</v>
      </c>
      <c r="G5" s="5" t="s">
        <v>55</v>
      </c>
    </row>
    <row r="6" spans="1:9" ht="28.5" x14ac:dyDescent="0.25">
      <c r="A6" s="20" t="s">
        <v>49</v>
      </c>
      <c r="B6" s="20" t="s">
        <v>45</v>
      </c>
      <c r="C6" s="20"/>
      <c r="F6" s="25">
        <v>1</v>
      </c>
      <c r="G6" s="5"/>
    </row>
    <row r="7" spans="1:9" ht="128.25" x14ac:dyDescent="0.25">
      <c r="A7" s="20" t="s">
        <v>49</v>
      </c>
      <c r="B7" s="20" t="s">
        <v>46</v>
      </c>
      <c r="C7" s="20"/>
      <c r="F7" s="25">
        <v>1</v>
      </c>
      <c r="G7" s="5" t="s">
        <v>57</v>
      </c>
    </row>
    <row r="8" spans="1:9" x14ac:dyDescent="0.25">
      <c r="F8" s="21"/>
    </row>
    <row r="9" spans="1:9" x14ac:dyDescent="0.25">
      <c r="C9" s="16" t="s">
        <v>25</v>
      </c>
      <c r="F9" s="21">
        <f>SUM(F2:F8)</f>
        <v>6</v>
      </c>
    </row>
    <row r="12" spans="1:9" x14ac:dyDescent="0.25">
      <c r="A12" s="23"/>
      <c r="B12" s="23"/>
      <c r="C12" s="23"/>
      <c r="F12" s="24"/>
    </row>
    <row r="13" spans="1:9"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D639-C799-4DAF-B7FE-F32EC0AEF82A}">
  <dimension ref="A1:H33"/>
  <sheetViews>
    <sheetView workbookViewId="0">
      <selection activeCell="C1" sqref="C1:F1"/>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24.5703125" style="19" customWidth="1"/>
    <col min="6" max="6" width="15.28515625" style="19" customWidth="1"/>
    <col min="7" max="7" width="36.42578125" style="19" bestFit="1" customWidth="1"/>
    <col min="8" max="8" width="68.42578125" style="19" customWidth="1"/>
    <col min="9" max="16384" width="11.42578125" style="19"/>
  </cols>
  <sheetData>
    <row r="1" spans="1:8" x14ac:dyDescent="0.25">
      <c r="A1" s="17" t="s">
        <v>40</v>
      </c>
      <c r="B1" s="17" t="s">
        <v>41</v>
      </c>
      <c r="C1" s="17" t="s">
        <v>257</v>
      </c>
      <c r="D1" s="18" t="s">
        <v>23</v>
      </c>
      <c r="E1" s="18" t="s">
        <v>24</v>
      </c>
      <c r="F1" s="15" t="s">
        <v>50</v>
      </c>
      <c r="G1" s="17"/>
    </row>
    <row r="2" spans="1:8" ht="28.5" x14ac:dyDescent="0.25">
      <c r="A2" s="20" t="s">
        <v>49</v>
      </c>
      <c r="B2" s="20" t="s">
        <v>2</v>
      </c>
      <c r="C2" s="23" t="s">
        <v>130</v>
      </c>
      <c r="D2" s="19">
        <v>1</v>
      </c>
      <c r="E2" s="19" t="s">
        <v>132</v>
      </c>
      <c r="F2" s="19" t="s">
        <v>133</v>
      </c>
      <c r="H2" s="22"/>
    </row>
    <row r="3" spans="1:8" ht="28.5" x14ac:dyDescent="0.25">
      <c r="A3" s="20" t="s">
        <v>49</v>
      </c>
      <c r="B3" s="20" t="s">
        <v>43</v>
      </c>
      <c r="C3" s="19" t="s">
        <v>134</v>
      </c>
      <c r="D3" s="19">
        <v>1</v>
      </c>
      <c r="E3" s="19" t="s">
        <v>135</v>
      </c>
      <c r="F3" s="19" t="s">
        <v>136</v>
      </c>
    </row>
    <row r="4" spans="1:8" ht="28.5" x14ac:dyDescent="0.25">
      <c r="A4" s="20" t="s">
        <v>49</v>
      </c>
      <c r="B4" s="20" t="s">
        <v>44</v>
      </c>
      <c r="C4" s="19" t="s">
        <v>137</v>
      </c>
      <c r="D4" s="19">
        <v>0.5</v>
      </c>
      <c r="E4" s="19" t="s">
        <v>138</v>
      </c>
      <c r="F4" s="19" t="s">
        <v>139</v>
      </c>
    </row>
    <row r="5" spans="1:8" ht="28.5" x14ac:dyDescent="0.25">
      <c r="A5" s="20" t="s">
        <v>49</v>
      </c>
      <c r="B5" s="20" t="s">
        <v>47</v>
      </c>
      <c r="C5" s="19" t="s">
        <v>140</v>
      </c>
      <c r="D5" s="19">
        <v>1</v>
      </c>
      <c r="E5" s="19" t="s">
        <v>141</v>
      </c>
      <c r="F5" s="19" t="s">
        <v>142</v>
      </c>
    </row>
    <row r="6" spans="1:8" ht="28.5" x14ac:dyDescent="0.25">
      <c r="A6" s="20" t="s">
        <v>49</v>
      </c>
      <c r="B6" s="20" t="s">
        <v>45</v>
      </c>
      <c r="C6" s="19" t="s">
        <v>143</v>
      </c>
      <c r="D6" s="19">
        <v>0</v>
      </c>
      <c r="E6" s="19" t="s">
        <v>144</v>
      </c>
      <c r="F6" s="19" t="s">
        <v>145</v>
      </c>
    </row>
    <row r="7" spans="1:8" ht="28.5" x14ac:dyDescent="0.25">
      <c r="A7" s="20" t="s">
        <v>49</v>
      </c>
      <c r="B7" s="20" t="s">
        <v>46</v>
      </c>
      <c r="C7" s="19" t="s">
        <v>146</v>
      </c>
      <c r="D7" s="19">
        <v>1</v>
      </c>
      <c r="E7" s="19" t="s">
        <v>131</v>
      </c>
      <c r="F7" s="19" t="s">
        <v>147</v>
      </c>
    </row>
    <row r="8" spans="1:8" x14ac:dyDescent="0.25">
      <c r="F8" s="21"/>
    </row>
    <row r="9" spans="1:8" x14ac:dyDescent="0.25">
      <c r="C9" s="16" t="s">
        <v>25</v>
      </c>
      <c r="D9" s="19">
        <f>SUM(D2:D7)</f>
        <v>4.5</v>
      </c>
      <c r="F9" s="21">
        <f>SUM(F2:F8)</f>
        <v>0</v>
      </c>
    </row>
    <row r="12" spans="1:8" x14ac:dyDescent="0.25">
      <c r="A12" s="23"/>
      <c r="B12" s="23"/>
      <c r="C12" s="23"/>
      <c r="F12" s="24"/>
    </row>
    <row r="13" spans="1:8"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5BA66-3190-4029-9719-9B11645E43A2}">
  <dimension ref="A1:H33"/>
  <sheetViews>
    <sheetView workbookViewId="0">
      <selection activeCell="C1" sqref="C1:F1"/>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17.85546875" style="19" customWidth="1"/>
    <col min="6" max="6" width="21.42578125" style="19" customWidth="1"/>
    <col min="7" max="7" width="36.42578125" style="19" bestFit="1" customWidth="1"/>
    <col min="8" max="8" width="68.42578125" style="19" customWidth="1"/>
    <col min="9" max="16384" width="11.42578125" style="19"/>
  </cols>
  <sheetData>
    <row r="1" spans="1:8" x14ac:dyDescent="0.25">
      <c r="A1" s="17" t="s">
        <v>40</v>
      </c>
      <c r="B1" s="17" t="s">
        <v>41</v>
      </c>
      <c r="C1" s="17" t="s">
        <v>257</v>
      </c>
      <c r="D1" s="18" t="s">
        <v>258</v>
      </c>
      <c r="E1" s="18" t="s">
        <v>24</v>
      </c>
      <c r="F1" s="15" t="s">
        <v>50</v>
      </c>
      <c r="G1" s="17"/>
    </row>
    <row r="2" spans="1:8" ht="28.5" x14ac:dyDescent="0.25">
      <c r="A2" s="20" t="s">
        <v>49</v>
      </c>
      <c r="B2" s="20" t="s">
        <v>2</v>
      </c>
      <c r="C2" s="23" t="s">
        <v>130</v>
      </c>
      <c r="D2" s="19">
        <v>1</v>
      </c>
      <c r="E2" s="19" t="s">
        <v>148</v>
      </c>
      <c r="F2" s="19" t="s">
        <v>133</v>
      </c>
      <c r="H2" s="22"/>
    </row>
    <row r="3" spans="1:8" ht="28.5" x14ac:dyDescent="0.25">
      <c r="A3" s="20" t="s">
        <v>49</v>
      </c>
      <c r="B3" s="20" t="s">
        <v>43</v>
      </c>
      <c r="C3" s="19" t="s">
        <v>134</v>
      </c>
      <c r="D3" s="19">
        <v>1</v>
      </c>
      <c r="E3" s="19" t="s">
        <v>149</v>
      </c>
      <c r="F3" s="19" t="s">
        <v>150</v>
      </c>
    </row>
    <row r="4" spans="1:8" ht="28.5" x14ac:dyDescent="0.25">
      <c r="A4" s="20" t="s">
        <v>49</v>
      </c>
      <c r="B4" s="20" t="s">
        <v>44</v>
      </c>
      <c r="C4" s="19" t="s">
        <v>137</v>
      </c>
      <c r="D4" s="19">
        <v>0.5</v>
      </c>
      <c r="E4" s="19" t="s">
        <v>154</v>
      </c>
      <c r="F4" s="19" t="s">
        <v>139</v>
      </c>
    </row>
    <row r="5" spans="1:8" ht="28.5" x14ac:dyDescent="0.25">
      <c r="A5" s="20" t="s">
        <v>49</v>
      </c>
      <c r="B5" s="20" t="s">
        <v>47</v>
      </c>
      <c r="C5" s="19" t="s">
        <v>140</v>
      </c>
      <c r="D5" s="19">
        <v>1</v>
      </c>
      <c r="E5" s="19" t="s">
        <v>151</v>
      </c>
      <c r="F5" s="19" t="s">
        <v>142</v>
      </c>
    </row>
    <row r="6" spans="1:8" ht="28.5" x14ac:dyDescent="0.25">
      <c r="A6" s="20" t="s">
        <v>49</v>
      </c>
      <c r="B6" s="20" t="s">
        <v>45</v>
      </c>
      <c r="C6" s="19" t="s">
        <v>143</v>
      </c>
      <c r="D6" s="19">
        <v>0</v>
      </c>
      <c r="E6" s="19" t="s">
        <v>155</v>
      </c>
      <c r="F6" s="19" t="s">
        <v>152</v>
      </c>
    </row>
    <row r="7" spans="1:8" ht="28.5" x14ac:dyDescent="0.25">
      <c r="A7" s="20" t="s">
        <v>49</v>
      </c>
      <c r="B7" s="20" t="s">
        <v>46</v>
      </c>
      <c r="C7" s="19" t="s">
        <v>146</v>
      </c>
      <c r="D7" s="19">
        <v>1</v>
      </c>
      <c r="E7" s="19" t="s">
        <v>153</v>
      </c>
      <c r="F7" s="19" t="s">
        <v>147</v>
      </c>
    </row>
    <row r="8" spans="1:8" x14ac:dyDescent="0.25">
      <c r="F8" s="21"/>
    </row>
    <row r="9" spans="1:8" x14ac:dyDescent="0.25">
      <c r="C9" s="16" t="s">
        <v>25</v>
      </c>
      <c r="D9" s="19">
        <f>SUM(D2:D7)</f>
        <v>4.5</v>
      </c>
      <c r="F9" s="21">
        <f>SUM(F2:F8)</f>
        <v>0</v>
      </c>
    </row>
    <row r="12" spans="1:8" x14ac:dyDescent="0.25">
      <c r="A12" s="23"/>
      <c r="B12" s="23"/>
      <c r="C12" s="23"/>
      <c r="F12" s="24"/>
    </row>
    <row r="13" spans="1:8"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D9F1F-54EB-42D5-AC36-C04EEEA66A33}">
  <dimension ref="A1:H33"/>
  <sheetViews>
    <sheetView workbookViewId="0">
      <selection activeCell="C1" sqref="C1:F1"/>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17.85546875" style="19" customWidth="1"/>
    <col min="6" max="6" width="21.28515625" style="19" customWidth="1"/>
    <col min="7" max="7" width="36.42578125" style="19" bestFit="1" customWidth="1"/>
    <col min="8" max="8" width="68.42578125" style="19" customWidth="1"/>
    <col min="9" max="16384" width="11.42578125" style="19"/>
  </cols>
  <sheetData>
    <row r="1" spans="1:8" x14ac:dyDescent="0.25">
      <c r="A1" s="17" t="s">
        <v>40</v>
      </c>
      <c r="B1" s="17" t="s">
        <v>41</v>
      </c>
      <c r="C1" s="17" t="s">
        <v>257</v>
      </c>
      <c r="D1" s="18" t="s">
        <v>258</v>
      </c>
      <c r="E1" s="18" t="s">
        <v>24</v>
      </c>
      <c r="F1" s="15" t="s">
        <v>50</v>
      </c>
      <c r="G1" s="17"/>
    </row>
    <row r="2" spans="1:8" ht="28.5" x14ac:dyDescent="0.25">
      <c r="A2" s="20" t="s">
        <v>49</v>
      </c>
      <c r="B2" s="20" t="s">
        <v>2</v>
      </c>
      <c r="C2" s="23" t="s">
        <v>130</v>
      </c>
      <c r="D2" s="19">
        <v>1</v>
      </c>
      <c r="E2" s="19" t="s">
        <v>156</v>
      </c>
      <c r="F2" s="19" t="s">
        <v>157</v>
      </c>
      <c r="H2" s="22"/>
    </row>
    <row r="3" spans="1:8" ht="28.5" x14ac:dyDescent="0.25">
      <c r="A3" s="20" t="s">
        <v>49</v>
      </c>
      <c r="B3" s="20" t="s">
        <v>43</v>
      </c>
      <c r="C3" s="19" t="s">
        <v>134</v>
      </c>
      <c r="D3" s="19">
        <v>1</v>
      </c>
      <c r="E3" s="19" t="s">
        <v>158</v>
      </c>
      <c r="F3" s="19" t="s">
        <v>159</v>
      </c>
    </row>
    <row r="4" spans="1:8" ht="28.5" x14ac:dyDescent="0.25">
      <c r="A4" s="20" t="s">
        <v>49</v>
      </c>
      <c r="B4" s="20" t="s">
        <v>44</v>
      </c>
      <c r="C4" s="19" t="s">
        <v>137</v>
      </c>
      <c r="D4" s="19">
        <v>0.5</v>
      </c>
      <c r="E4" s="19" t="s">
        <v>160</v>
      </c>
      <c r="F4" s="19" t="s">
        <v>161</v>
      </c>
    </row>
    <row r="5" spans="1:8" ht="28.5" x14ac:dyDescent="0.25">
      <c r="A5" s="20" t="s">
        <v>49</v>
      </c>
      <c r="B5" s="20" t="s">
        <v>47</v>
      </c>
      <c r="C5" s="19" t="s">
        <v>140</v>
      </c>
      <c r="D5" s="19">
        <v>1</v>
      </c>
      <c r="E5" s="19" t="s">
        <v>162</v>
      </c>
      <c r="F5" s="19" t="s">
        <v>163</v>
      </c>
    </row>
    <row r="6" spans="1:8" ht="28.5" x14ac:dyDescent="0.25">
      <c r="A6" s="20" t="s">
        <v>49</v>
      </c>
      <c r="B6" s="20" t="s">
        <v>45</v>
      </c>
      <c r="C6" s="19" t="s">
        <v>143</v>
      </c>
      <c r="D6" s="19">
        <v>0</v>
      </c>
      <c r="E6" s="19" t="s">
        <v>164</v>
      </c>
      <c r="F6" s="19" t="s">
        <v>165</v>
      </c>
    </row>
    <row r="7" spans="1:8" ht="28.5" x14ac:dyDescent="0.25">
      <c r="A7" s="20" t="s">
        <v>49</v>
      </c>
      <c r="B7" s="20" t="s">
        <v>46</v>
      </c>
      <c r="C7" s="19" t="s">
        <v>146</v>
      </c>
      <c r="D7" s="19">
        <v>1</v>
      </c>
      <c r="E7" s="19" t="s">
        <v>166</v>
      </c>
      <c r="F7" s="19" t="s">
        <v>167</v>
      </c>
    </row>
    <row r="8" spans="1:8" x14ac:dyDescent="0.25">
      <c r="F8" s="21"/>
    </row>
    <row r="9" spans="1:8" x14ac:dyDescent="0.25">
      <c r="C9" s="16" t="s">
        <v>25</v>
      </c>
      <c r="D9" s="19">
        <f>SUM(D2:D7)</f>
        <v>4.5</v>
      </c>
      <c r="F9" s="21">
        <f>SUM(F2:F8)</f>
        <v>0</v>
      </c>
    </row>
    <row r="12" spans="1:8" x14ac:dyDescent="0.25">
      <c r="A12" s="23"/>
      <c r="B12" s="23"/>
      <c r="C12" s="23"/>
      <c r="F12" s="24"/>
    </row>
    <row r="13" spans="1:8"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E149C-6C94-438D-B4C5-DD4ED4E0FBA6}">
  <dimension ref="A1:H33"/>
  <sheetViews>
    <sheetView workbookViewId="0">
      <selection activeCell="C1" sqref="C1:F1"/>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17.85546875" style="19" customWidth="1"/>
    <col min="6" max="6" width="13.28515625" style="19" customWidth="1"/>
    <col min="7" max="7" width="36.42578125" style="19" bestFit="1" customWidth="1"/>
    <col min="8" max="8" width="68.42578125" style="19" customWidth="1"/>
    <col min="9" max="16384" width="11.42578125" style="19"/>
  </cols>
  <sheetData>
    <row r="1" spans="1:8" x14ac:dyDescent="0.25">
      <c r="A1" s="17" t="s">
        <v>40</v>
      </c>
      <c r="B1" s="17" t="s">
        <v>41</v>
      </c>
      <c r="C1" s="17" t="s">
        <v>257</v>
      </c>
      <c r="D1" s="18" t="s">
        <v>258</v>
      </c>
      <c r="E1" s="18" t="s">
        <v>24</v>
      </c>
      <c r="F1" s="15" t="s">
        <v>50</v>
      </c>
      <c r="G1" s="17"/>
    </row>
    <row r="2" spans="1:8" ht="28.5" x14ac:dyDescent="0.25">
      <c r="A2" s="20" t="s">
        <v>49</v>
      </c>
      <c r="B2" s="20" t="s">
        <v>2</v>
      </c>
      <c r="C2" s="23" t="s">
        <v>130</v>
      </c>
      <c r="D2" s="19">
        <v>1</v>
      </c>
      <c r="E2" s="19" t="s">
        <v>168</v>
      </c>
      <c r="F2" s="19" t="s">
        <v>133</v>
      </c>
      <c r="H2" s="22"/>
    </row>
    <row r="3" spans="1:8" ht="28.5" x14ac:dyDescent="0.25">
      <c r="A3" s="20" t="s">
        <v>49</v>
      </c>
      <c r="B3" s="20" t="s">
        <v>43</v>
      </c>
      <c r="C3" s="19" t="s">
        <v>134</v>
      </c>
      <c r="D3" s="19">
        <v>1</v>
      </c>
      <c r="E3" s="19" t="s">
        <v>169</v>
      </c>
      <c r="F3" s="19" t="s">
        <v>174</v>
      </c>
    </row>
    <row r="4" spans="1:8" ht="28.5" x14ac:dyDescent="0.25">
      <c r="A4" s="20" t="s">
        <v>49</v>
      </c>
      <c r="B4" s="20" t="s">
        <v>44</v>
      </c>
      <c r="C4" s="19" t="s">
        <v>137</v>
      </c>
      <c r="D4" s="19">
        <v>0.5</v>
      </c>
      <c r="E4" s="19" t="s">
        <v>170</v>
      </c>
      <c r="F4" s="19" t="s">
        <v>175</v>
      </c>
    </row>
    <row r="5" spans="1:8" ht="28.5" x14ac:dyDescent="0.25">
      <c r="A5" s="20" t="s">
        <v>49</v>
      </c>
      <c r="B5" s="20" t="s">
        <v>47</v>
      </c>
      <c r="C5" s="19" t="s">
        <v>140</v>
      </c>
      <c r="D5" s="19">
        <v>1</v>
      </c>
      <c r="E5" s="19" t="s">
        <v>171</v>
      </c>
      <c r="F5" s="19" t="s">
        <v>176</v>
      </c>
    </row>
    <row r="6" spans="1:8" ht="28.5" x14ac:dyDescent="0.25">
      <c r="A6" s="20" t="s">
        <v>49</v>
      </c>
      <c r="B6" s="20" t="s">
        <v>45</v>
      </c>
      <c r="C6" s="19" t="s">
        <v>143</v>
      </c>
      <c r="D6" s="19">
        <v>0</v>
      </c>
      <c r="E6" s="19" t="s">
        <v>172</v>
      </c>
      <c r="F6" s="19" t="s">
        <v>152</v>
      </c>
    </row>
    <row r="7" spans="1:8" ht="28.5" x14ac:dyDescent="0.25">
      <c r="A7" s="20" t="s">
        <v>49</v>
      </c>
      <c r="B7" s="20" t="s">
        <v>46</v>
      </c>
      <c r="C7" s="19" t="s">
        <v>146</v>
      </c>
      <c r="D7" s="19">
        <v>1</v>
      </c>
      <c r="E7" s="19" t="s">
        <v>173</v>
      </c>
      <c r="F7" s="19" t="s">
        <v>177</v>
      </c>
    </row>
    <row r="8" spans="1:8" x14ac:dyDescent="0.25">
      <c r="F8" s="21"/>
    </row>
    <row r="9" spans="1:8" x14ac:dyDescent="0.25">
      <c r="C9" s="16" t="s">
        <v>25</v>
      </c>
      <c r="D9" s="19">
        <f>SUM(D2:D7)</f>
        <v>4.5</v>
      </c>
      <c r="F9" s="21"/>
    </row>
    <row r="12" spans="1:8" x14ac:dyDescent="0.25">
      <c r="A12" s="23"/>
      <c r="B12" s="23"/>
      <c r="C12" s="23"/>
      <c r="F12" s="24"/>
    </row>
    <row r="13" spans="1:8"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68329-3DFB-40F8-89B8-6190E4AE70F5}">
  <dimension ref="A1:H33"/>
  <sheetViews>
    <sheetView workbookViewId="0">
      <selection activeCell="C1" sqref="C1:F1"/>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17.85546875" style="19" customWidth="1"/>
    <col min="6" max="6" width="13.28515625" style="19" customWidth="1"/>
    <col min="7" max="7" width="36.42578125" style="19" bestFit="1" customWidth="1"/>
    <col min="8" max="8" width="68.42578125" style="19" customWidth="1"/>
    <col min="9" max="16384" width="11.42578125" style="19"/>
  </cols>
  <sheetData>
    <row r="1" spans="1:8" x14ac:dyDescent="0.25">
      <c r="A1" s="17" t="s">
        <v>40</v>
      </c>
      <c r="B1" s="17" t="s">
        <v>41</v>
      </c>
      <c r="C1" s="17" t="s">
        <v>257</v>
      </c>
      <c r="D1" s="18" t="s">
        <v>258</v>
      </c>
      <c r="E1" s="18" t="s">
        <v>24</v>
      </c>
      <c r="F1" s="15" t="s">
        <v>50</v>
      </c>
      <c r="G1" s="17"/>
    </row>
    <row r="2" spans="1:8" ht="28.5" x14ac:dyDescent="0.25">
      <c r="A2" s="20" t="s">
        <v>49</v>
      </c>
      <c r="B2" s="20" t="s">
        <v>2</v>
      </c>
      <c r="C2" s="23" t="s">
        <v>130</v>
      </c>
      <c r="D2" s="19">
        <v>1</v>
      </c>
      <c r="E2" s="19" t="s">
        <v>178</v>
      </c>
      <c r="F2" s="19" t="s">
        <v>133</v>
      </c>
      <c r="H2" s="22"/>
    </row>
    <row r="3" spans="1:8" ht="28.5" x14ac:dyDescent="0.25">
      <c r="A3" s="20" t="s">
        <v>49</v>
      </c>
      <c r="B3" s="20" t="s">
        <v>43</v>
      </c>
      <c r="C3" s="19" t="s">
        <v>134</v>
      </c>
      <c r="D3" s="19">
        <v>0.5</v>
      </c>
      <c r="E3" s="19" t="s">
        <v>179</v>
      </c>
      <c r="F3" s="19" t="s">
        <v>184</v>
      </c>
    </row>
    <row r="4" spans="1:8" ht="28.5" x14ac:dyDescent="0.25">
      <c r="A4" s="20" t="s">
        <v>49</v>
      </c>
      <c r="B4" s="20" t="s">
        <v>44</v>
      </c>
      <c r="C4" s="19" t="s">
        <v>137</v>
      </c>
      <c r="D4" s="19">
        <v>0.5</v>
      </c>
      <c r="E4" s="19" t="s">
        <v>180</v>
      </c>
      <c r="F4" s="19" t="s">
        <v>185</v>
      </c>
    </row>
    <row r="5" spans="1:8" ht="28.5" x14ac:dyDescent="0.25">
      <c r="A5" s="20" t="s">
        <v>49</v>
      </c>
      <c r="B5" s="20" t="s">
        <v>47</v>
      </c>
      <c r="C5" s="19" t="s">
        <v>140</v>
      </c>
      <c r="D5" s="19">
        <v>1</v>
      </c>
      <c r="E5" s="19" t="s">
        <v>181</v>
      </c>
      <c r="F5" s="19" t="s">
        <v>186</v>
      </c>
    </row>
    <row r="6" spans="1:8" ht="28.5" x14ac:dyDescent="0.25">
      <c r="A6" s="20" t="s">
        <v>49</v>
      </c>
      <c r="B6" s="20" t="s">
        <v>45</v>
      </c>
      <c r="C6" s="19" t="s">
        <v>143</v>
      </c>
      <c r="D6" s="19">
        <v>0</v>
      </c>
      <c r="E6" s="19" t="s">
        <v>182</v>
      </c>
      <c r="F6" s="19" t="s">
        <v>152</v>
      </c>
    </row>
    <row r="7" spans="1:8" ht="28.5" x14ac:dyDescent="0.25">
      <c r="A7" s="20" t="s">
        <v>49</v>
      </c>
      <c r="B7" s="20" t="s">
        <v>46</v>
      </c>
      <c r="C7" s="19" t="s">
        <v>146</v>
      </c>
      <c r="D7" s="19">
        <v>0.5</v>
      </c>
      <c r="E7" s="19" t="s">
        <v>183</v>
      </c>
      <c r="F7" s="19" t="s">
        <v>187</v>
      </c>
    </row>
    <row r="8" spans="1:8" x14ac:dyDescent="0.25">
      <c r="F8" s="21"/>
    </row>
    <row r="9" spans="1:8" x14ac:dyDescent="0.25">
      <c r="C9" s="16" t="s">
        <v>25</v>
      </c>
      <c r="D9" s="19">
        <f>SUM(D2:D7)</f>
        <v>3.5</v>
      </c>
      <c r="F9" s="21"/>
    </row>
    <row r="12" spans="1:8" x14ac:dyDescent="0.25">
      <c r="A12" s="23"/>
      <c r="B12" s="23"/>
      <c r="C12" s="23"/>
      <c r="F12" s="24"/>
    </row>
    <row r="13" spans="1:8"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F6CC2-11F2-4305-B893-8747C56031D1}">
  <dimension ref="A1:H33"/>
  <sheetViews>
    <sheetView workbookViewId="0">
      <selection activeCell="C1" sqref="C1:F1"/>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17.85546875" style="19" customWidth="1"/>
    <col min="6" max="6" width="13.28515625" style="19" customWidth="1"/>
    <col min="7" max="7" width="36.42578125" style="19" bestFit="1" customWidth="1"/>
    <col min="8" max="8" width="68.42578125" style="19" customWidth="1"/>
    <col min="9" max="16384" width="11.42578125" style="19"/>
  </cols>
  <sheetData>
    <row r="1" spans="1:8" x14ac:dyDescent="0.25">
      <c r="A1" s="17" t="s">
        <v>40</v>
      </c>
      <c r="B1" s="17" t="s">
        <v>41</v>
      </c>
      <c r="C1" s="17" t="s">
        <v>257</v>
      </c>
      <c r="D1" s="18" t="s">
        <v>258</v>
      </c>
      <c r="E1" s="18" t="s">
        <v>24</v>
      </c>
      <c r="F1" s="15" t="s">
        <v>50</v>
      </c>
      <c r="G1" s="17"/>
    </row>
    <row r="2" spans="1:8" ht="28.5" x14ac:dyDescent="0.25">
      <c r="A2" s="20" t="s">
        <v>49</v>
      </c>
      <c r="B2" s="20" t="s">
        <v>2</v>
      </c>
      <c r="C2" s="23" t="s">
        <v>130</v>
      </c>
      <c r="D2" s="19">
        <v>1</v>
      </c>
      <c r="E2" s="19" t="s">
        <v>188</v>
      </c>
      <c r="F2" s="19" t="s">
        <v>189</v>
      </c>
      <c r="H2" s="22"/>
    </row>
    <row r="3" spans="1:8" ht="28.5" x14ac:dyDescent="0.25">
      <c r="A3" s="20" t="s">
        <v>49</v>
      </c>
      <c r="B3" s="20" t="s">
        <v>43</v>
      </c>
      <c r="C3" s="19" t="s">
        <v>134</v>
      </c>
      <c r="D3" s="19">
        <v>1</v>
      </c>
      <c r="E3" s="19" t="s">
        <v>190</v>
      </c>
      <c r="F3" s="19" t="s">
        <v>191</v>
      </c>
    </row>
    <row r="4" spans="1:8" ht="28.5" x14ac:dyDescent="0.25">
      <c r="A4" s="20" t="s">
        <v>49</v>
      </c>
      <c r="B4" s="20" t="s">
        <v>44</v>
      </c>
      <c r="C4" s="19" t="s">
        <v>137</v>
      </c>
      <c r="D4" s="19">
        <v>0.5</v>
      </c>
      <c r="E4" s="19" t="s">
        <v>192</v>
      </c>
      <c r="F4" s="19" t="s">
        <v>193</v>
      </c>
    </row>
    <row r="5" spans="1:8" ht="28.5" x14ac:dyDescent="0.25">
      <c r="A5" s="20" t="s">
        <v>49</v>
      </c>
      <c r="B5" s="20" t="s">
        <v>47</v>
      </c>
      <c r="C5" s="19" t="s">
        <v>140</v>
      </c>
      <c r="D5" s="19">
        <v>1</v>
      </c>
      <c r="E5" s="19" t="s">
        <v>194</v>
      </c>
      <c r="F5" s="19" t="s">
        <v>195</v>
      </c>
    </row>
    <row r="6" spans="1:8" ht="28.5" x14ac:dyDescent="0.25">
      <c r="A6" s="20" t="s">
        <v>49</v>
      </c>
      <c r="B6" s="20" t="s">
        <v>45</v>
      </c>
      <c r="C6" s="19" t="s">
        <v>143</v>
      </c>
      <c r="D6" s="19">
        <v>0</v>
      </c>
      <c r="E6" s="19" t="s">
        <v>196</v>
      </c>
      <c r="F6" s="19" t="s">
        <v>152</v>
      </c>
    </row>
    <row r="7" spans="1:8" ht="28.5" x14ac:dyDescent="0.25">
      <c r="A7" s="20" t="s">
        <v>49</v>
      </c>
      <c r="B7" s="20" t="s">
        <v>46</v>
      </c>
      <c r="C7" s="19" t="s">
        <v>146</v>
      </c>
      <c r="D7" s="19">
        <v>1</v>
      </c>
      <c r="E7" s="19" t="s">
        <v>197</v>
      </c>
      <c r="F7" s="19" t="s">
        <v>198</v>
      </c>
    </row>
    <row r="8" spans="1:8" x14ac:dyDescent="0.25">
      <c r="F8" s="21"/>
    </row>
    <row r="9" spans="1:8" x14ac:dyDescent="0.25">
      <c r="C9" s="16" t="s">
        <v>25</v>
      </c>
      <c r="D9" s="19">
        <f>SUM(D2:D7)</f>
        <v>4.5</v>
      </c>
      <c r="F9" s="21"/>
    </row>
    <row r="12" spans="1:8" x14ac:dyDescent="0.25">
      <c r="A12" s="23"/>
      <c r="B12" s="23"/>
      <c r="C12" s="23"/>
      <c r="F12" s="24"/>
    </row>
    <row r="13" spans="1:8"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78EA5-9127-445C-8735-14096936BB3F}">
  <dimension ref="A1:H33"/>
  <sheetViews>
    <sheetView workbookViewId="0">
      <selection activeCell="C1" sqref="C1:F1"/>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17.85546875" style="19" customWidth="1"/>
    <col min="6" max="6" width="13.28515625" style="19" customWidth="1"/>
    <col min="7" max="7" width="36.42578125" style="19" bestFit="1" customWidth="1"/>
    <col min="8" max="8" width="68.42578125" style="19" customWidth="1"/>
    <col min="9" max="16384" width="11.42578125" style="19"/>
  </cols>
  <sheetData>
    <row r="1" spans="1:8" x14ac:dyDescent="0.25">
      <c r="A1" s="17" t="s">
        <v>40</v>
      </c>
      <c r="B1" s="17" t="s">
        <v>41</v>
      </c>
      <c r="C1" s="17" t="s">
        <v>257</v>
      </c>
      <c r="D1" s="18" t="s">
        <v>258</v>
      </c>
      <c r="E1" s="18" t="s">
        <v>24</v>
      </c>
      <c r="F1" s="15" t="s">
        <v>50</v>
      </c>
      <c r="G1" s="17"/>
    </row>
    <row r="2" spans="1:8" ht="28.5" x14ac:dyDescent="0.25">
      <c r="A2" s="20" t="s">
        <v>49</v>
      </c>
      <c r="B2" s="20" t="s">
        <v>2</v>
      </c>
      <c r="C2" s="23" t="s">
        <v>130</v>
      </c>
      <c r="D2" s="19">
        <v>1</v>
      </c>
      <c r="E2" s="19" t="s">
        <v>199</v>
      </c>
      <c r="F2" s="19" t="s">
        <v>200</v>
      </c>
      <c r="H2" s="22"/>
    </row>
    <row r="3" spans="1:8" ht="28.5" x14ac:dyDescent="0.25">
      <c r="A3" s="20" t="s">
        <v>49</v>
      </c>
      <c r="B3" s="20" t="s">
        <v>43</v>
      </c>
      <c r="C3" s="19" t="s">
        <v>134</v>
      </c>
      <c r="D3" s="19">
        <v>1</v>
      </c>
      <c r="E3" s="19" t="s">
        <v>201</v>
      </c>
      <c r="F3" s="19" t="s">
        <v>202</v>
      </c>
    </row>
    <row r="4" spans="1:8" ht="28.5" x14ac:dyDescent="0.25">
      <c r="A4" s="20" t="s">
        <v>49</v>
      </c>
      <c r="B4" s="20" t="s">
        <v>44</v>
      </c>
      <c r="C4" s="19" t="s">
        <v>137</v>
      </c>
      <c r="D4" s="19">
        <v>0.5</v>
      </c>
      <c r="E4" s="19" t="s">
        <v>203</v>
      </c>
      <c r="F4" s="19" t="s">
        <v>204</v>
      </c>
    </row>
    <row r="5" spans="1:8" ht="28.5" x14ac:dyDescent="0.25">
      <c r="A5" s="20" t="s">
        <v>49</v>
      </c>
      <c r="B5" s="20" t="s">
        <v>47</v>
      </c>
      <c r="C5" s="19" t="s">
        <v>140</v>
      </c>
      <c r="D5" s="19">
        <v>1</v>
      </c>
      <c r="E5" s="19" t="s">
        <v>205</v>
      </c>
      <c r="F5" s="19" t="s">
        <v>206</v>
      </c>
    </row>
    <row r="6" spans="1:8" ht="28.5" x14ac:dyDescent="0.25">
      <c r="A6" s="20" t="s">
        <v>49</v>
      </c>
      <c r="B6" s="20" t="s">
        <v>45</v>
      </c>
      <c r="C6" s="19" t="s">
        <v>143</v>
      </c>
      <c r="D6" s="19">
        <v>0</v>
      </c>
      <c r="E6" s="19" t="s">
        <v>207</v>
      </c>
      <c r="F6" s="19" t="s">
        <v>152</v>
      </c>
    </row>
    <row r="7" spans="1:8" ht="28.5" x14ac:dyDescent="0.25">
      <c r="A7" s="20" t="s">
        <v>49</v>
      </c>
      <c r="B7" s="20" t="s">
        <v>46</v>
      </c>
      <c r="C7" s="19" t="s">
        <v>146</v>
      </c>
      <c r="D7" s="19">
        <v>1</v>
      </c>
      <c r="E7" s="19" t="s">
        <v>208</v>
      </c>
      <c r="F7" s="19" t="s">
        <v>209</v>
      </c>
    </row>
    <row r="8" spans="1:8" x14ac:dyDescent="0.25">
      <c r="F8" s="21"/>
    </row>
    <row r="9" spans="1:8" x14ac:dyDescent="0.25">
      <c r="C9" s="16" t="s">
        <v>25</v>
      </c>
      <c r="D9" s="19">
        <f>SUM(D2:D7)</f>
        <v>4.5</v>
      </c>
      <c r="F9" s="21"/>
    </row>
    <row r="12" spans="1:8" x14ac:dyDescent="0.25">
      <c r="A12" s="23"/>
      <c r="B12" s="23"/>
      <c r="C12" s="23"/>
      <c r="F12" s="24"/>
    </row>
    <row r="13" spans="1:8"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85223-AF42-48A5-BC1B-CD6282DA4C88}">
  <dimension ref="A1:H33"/>
  <sheetViews>
    <sheetView workbookViewId="0">
      <selection activeCell="C1" sqref="C1:F1"/>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17.85546875" style="19" customWidth="1"/>
    <col min="6" max="6" width="13.28515625" style="19" customWidth="1"/>
    <col min="7" max="7" width="36.42578125" style="19" bestFit="1" customWidth="1"/>
    <col min="8" max="8" width="68.42578125" style="19" customWidth="1"/>
    <col min="9" max="16384" width="11.42578125" style="19"/>
  </cols>
  <sheetData>
    <row r="1" spans="1:8" x14ac:dyDescent="0.25">
      <c r="A1" s="17" t="s">
        <v>40</v>
      </c>
      <c r="B1" s="17" t="s">
        <v>41</v>
      </c>
      <c r="C1" s="17" t="s">
        <v>257</v>
      </c>
      <c r="D1" s="18" t="s">
        <v>258</v>
      </c>
      <c r="E1" s="18" t="s">
        <v>24</v>
      </c>
      <c r="F1" s="15" t="s">
        <v>50</v>
      </c>
      <c r="G1" s="17"/>
    </row>
    <row r="2" spans="1:8" ht="28.5" x14ac:dyDescent="0.25">
      <c r="A2" s="20" t="s">
        <v>49</v>
      </c>
      <c r="B2" s="20" t="s">
        <v>2</v>
      </c>
      <c r="C2" s="23" t="s">
        <v>130</v>
      </c>
      <c r="D2" s="19">
        <v>1</v>
      </c>
      <c r="E2" s="19" t="s">
        <v>210</v>
      </c>
      <c r="F2" s="19" t="s">
        <v>211</v>
      </c>
      <c r="H2" s="22"/>
    </row>
    <row r="3" spans="1:8" ht="28.5" x14ac:dyDescent="0.25">
      <c r="A3" s="20" t="s">
        <v>49</v>
      </c>
      <c r="B3" s="20" t="s">
        <v>43</v>
      </c>
      <c r="C3" s="19" t="s">
        <v>134</v>
      </c>
      <c r="D3" s="19">
        <v>1</v>
      </c>
      <c r="E3" s="19" t="s">
        <v>212</v>
      </c>
      <c r="F3" s="19" t="s">
        <v>213</v>
      </c>
    </row>
    <row r="4" spans="1:8" ht="28.5" x14ac:dyDescent="0.25">
      <c r="A4" s="20" t="s">
        <v>49</v>
      </c>
      <c r="B4" s="20" t="s">
        <v>44</v>
      </c>
      <c r="C4" s="19" t="s">
        <v>137</v>
      </c>
      <c r="D4" s="19">
        <v>0.5</v>
      </c>
      <c r="E4" s="19" t="s">
        <v>214</v>
      </c>
      <c r="F4" s="19" t="s">
        <v>215</v>
      </c>
    </row>
    <row r="5" spans="1:8" ht="28.5" x14ac:dyDescent="0.25">
      <c r="A5" s="20" t="s">
        <v>49</v>
      </c>
      <c r="B5" s="20" t="s">
        <v>47</v>
      </c>
      <c r="C5" s="19" t="s">
        <v>140</v>
      </c>
      <c r="D5" s="19">
        <v>1</v>
      </c>
      <c r="E5" s="19" t="s">
        <v>216</v>
      </c>
      <c r="F5" s="19" t="s">
        <v>217</v>
      </c>
    </row>
    <row r="6" spans="1:8" ht="28.5" x14ac:dyDescent="0.25">
      <c r="A6" s="20" t="s">
        <v>49</v>
      </c>
      <c r="B6" s="20" t="s">
        <v>45</v>
      </c>
      <c r="C6" s="19" t="s">
        <v>143</v>
      </c>
      <c r="D6" s="19">
        <v>0</v>
      </c>
      <c r="E6" s="19" t="s">
        <v>218</v>
      </c>
      <c r="F6" s="19" t="s">
        <v>219</v>
      </c>
    </row>
    <row r="7" spans="1:8" ht="28.5" x14ac:dyDescent="0.25">
      <c r="A7" s="20" t="s">
        <v>49</v>
      </c>
      <c r="B7" s="20" t="s">
        <v>46</v>
      </c>
      <c r="C7" s="19" t="s">
        <v>146</v>
      </c>
      <c r="D7" s="19">
        <v>1</v>
      </c>
      <c r="E7" s="19" t="s">
        <v>220</v>
      </c>
      <c r="F7" s="19" t="s">
        <v>221</v>
      </c>
    </row>
    <row r="8" spans="1:8" x14ac:dyDescent="0.25">
      <c r="F8" s="21"/>
    </row>
    <row r="9" spans="1:8" x14ac:dyDescent="0.25">
      <c r="C9" s="16" t="s">
        <v>25</v>
      </c>
      <c r="D9" s="19">
        <f>SUM(D2:D7)</f>
        <v>4.5</v>
      </c>
      <c r="F9" s="21"/>
    </row>
    <row r="12" spans="1:8" x14ac:dyDescent="0.25">
      <c r="A12" s="23"/>
      <c r="B12" s="23"/>
      <c r="C12" s="23"/>
      <c r="F12" s="24"/>
    </row>
    <row r="13" spans="1:8"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297FC-DBD7-4CC9-8C5B-136BAAAB6D83}">
  <dimension ref="A1:H33"/>
  <sheetViews>
    <sheetView workbookViewId="0">
      <selection activeCell="C1" sqref="C1:F1"/>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17.85546875" style="19" customWidth="1"/>
    <col min="6" max="6" width="13.28515625" style="19" customWidth="1"/>
    <col min="7" max="7" width="36.42578125" style="19" bestFit="1" customWidth="1"/>
    <col min="8" max="8" width="68.42578125" style="19" customWidth="1"/>
    <col min="9" max="16384" width="11.42578125" style="19"/>
  </cols>
  <sheetData>
    <row r="1" spans="1:8" x14ac:dyDescent="0.25">
      <c r="A1" s="17" t="s">
        <v>40</v>
      </c>
      <c r="B1" s="17" t="s">
        <v>41</v>
      </c>
      <c r="C1" s="17" t="s">
        <v>257</v>
      </c>
      <c r="D1" s="18" t="s">
        <v>258</v>
      </c>
      <c r="E1" s="18" t="s">
        <v>24</v>
      </c>
      <c r="F1" s="15" t="s">
        <v>50</v>
      </c>
      <c r="G1" s="17"/>
    </row>
    <row r="2" spans="1:8" ht="28.5" x14ac:dyDescent="0.25">
      <c r="A2" s="20" t="s">
        <v>49</v>
      </c>
      <c r="B2" s="20" t="s">
        <v>2</v>
      </c>
      <c r="C2" s="23" t="s">
        <v>130</v>
      </c>
      <c r="D2" s="19">
        <v>1</v>
      </c>
      <c r="E2" s="19" t="s">
        <v>210</v>
      </c>
      <c r="F2" s="19" t="s">
        <v>133</v>
      </c>
      <c r="H2" s="22"/>
    </row>
    <row r="3" spans="1:8" ht="28.5" x14ac:dyDescent="0.25">
      <c r="A3" s="20" t="s">
        <v>49</v>
      </c>
      <c r="B3" s="20" t="s">
        <v>43</v>
      </c>
      <c r="C3" s="19" t="s">
        <v>134</v>
      </c>
      <c r="D3" s="19">
        <v>1</v>
      </c>
      <c r="E3" s="19" t="s">
        <v>222</v>
      </c>
      <c r="F3" s="19" t="s">
        <v>223</v>
      </c>
    </row>
    <row r="4" spans="1:8" ht="28.5" x14ac:dyDescent="0.25">
      <c r="A4" s="20" t="s">
        <v>49</v>
      </c>
      <c r="B4" s="20" t="s">
        <v>44</v>
      </c>
      <c r="C4" s="19" t="s">
        <v>137</v>
      </c>
      <c r="D4" s="19">
        <v>0.5</v>
      </c>
      <c r="E4" s="19" t="s">
        <v>229</v>
      </c>
      <c r="F4" s="19" t="s">
        <v>224</v>
      </c>
    </row>
    <row r="5" spans="1:8" ht="28.5" x14ac:dyDescent="0.25">
      <c r="A5" s="20" t="s">
        <v>49</v>
      </c>
      <c r="B5" s="20" t="s">
        <v>47</v>
      </c>
      <c r="C5" s="19" t="s">
        <v>140</v>
      </c>
      <c r="D5" s="19">
        <v>1</v>
      </c>
      <c r="E5" s="19" t="s">
        <v>225</v>
      </c>
      <c r="F5" s="19" t="s">
        <v>226</v>
      </c>
    </row>
    <row r="6" spans="1:8" ht="28.5" x14ac:dyDescent="0.25">
      <c r="A6" s="20" t="s">
        <v>49</v>
      </c>
      <c r="B6" s="20" t="s">
        <v>45</v>
      </c>
      <c r="C6" s="19" t="s">
        <v>143</v>
      </c>
      <c r="D6" s="19">
        <v>0</v>
      </c>
      <c r="E6" s="19" t="s">
        <v>230</v>
      </c>
      <c r="F6" s="19" t="s">
        <v>219</v>
      </c>
    </row>
    <row r="7" spans="1:8" ht="28.5" x14ac:dyDescent="0.25">
      <c r="A7" s="20" t="s">
        <v>49</v>
      </c>
      <c r="B7" s="20" t="s">
        <v>46</v>
      </c>
      <c r="C7" s="19" t="s">
        <v>146</v>
      </c>
      <c r="D7" s="19">
        <v>1</v>
      </c>
      <c r="E7" s="19" t="s">
        <v>227</v>
      </c>
      <c r="F7" s="19" t="s">
        <v>228</v>
      </c>
    </row>
    <row r="8" spans="1:8" x14ac:dyDescent="0.25">
      <c r="F8" s="21"/>
    </row>
    <row r="9" spans="1:8" x14ac:dyDescent="0.25">
      <c r="C9" s="16" t="s">
        <v>25</v>
      </c>
      <c r="D9" s="19">
        <f>SUM(D2:D7)</f>
        <v>4.5</v>
      </c>
      <c r="F9" s="21"/>
    </row>
    <row r="12" spans="1:8" x14ac:dyDescent="0.25">
      <c r="A12" s="23"/>
      <c r="B12" s="23"/>
      <c r="C12" s="23"/>
      <c r="F12" s="24"/>
    </row>
    <row r="13" spans="1:8"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EF5F1-2E8B-440E-B44F-8F4B0AAB1B94}">
  <dimension ref="A1:H33"/>
  <sheetViews>
    <sheetView workbookViewId="0">
      <selection activeCell="C1" sqref="C1:F1"/>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17.85546875" style="19" customWidth="1"/>
    <col min="6" max="6" width="13.28515625" style="19" customWidth="1"/>
    <col min="7" max="7" width="36.42578125" style="19" bestFit="1" customWidth="1"/>
    <col min="8" max="8" width="68.42578125" style="19" customWidth="1"/>
    <col min="9" max="16384" width="11.42578125" style="19"/>
  </cols>
  <sheetData>
    <row r="1" spans="1:8" x14ac:dyDescent="0.25">
      <c r="A1" s="17" t="s">
        <v>40</v>
      </c>
      <c r="B1" s="17" t="s">
        <v>41</v>
      </c>
      <c r="C1" s="17" t="s">
        <v>257</v>
      </c>
      <c r="D1" s="18" t="s">
        <v>258</v>
      </c>
      <c r="E1" s="18" t="s">
        <v>24</v>
      </c>
      <c r="F1" s="15" t="s">
        <v>50</v>
      </c>
      <c r="G1" s="17"/>
    </row>
    <row r="2" spans="1:8" ht="28.5" x14ac:dyDescent="0.25">
      <c r="A2" s="20" t="s">
        <v>49</v>
      </c>
      <c r="B2" s="20" t="s">
        <v>2</v>
      </c>
      <c r="C2" s="23" t="s">
        <v>130</v>
      </c>
      <c r="D2" s="19">
        <v>1</v>
      </c>
      <c r="E2" s="19" t="s">
        <v>231</v>
      </c>
      <c r="F2" s="19" t="s">
        <v>133</v>
      </c>
      <c r="H2" s="22"/>
    </row>
    <row r="3" spans="1:8" ht="28.5" x14ac:dyDescent="0.25">
      <c r="A3" s="20" t="s">
        <v>49</v>
      </c>
      <c r="B3" s="20" t="s">
        <v>43</v>
      </c>
      <c r="C3" s="19" t="s">
        <v>134</v>
      </c>
      <c r="D3" s="19">
        <v>1</v>
      </c>
      <c r="E3" s="19" t="s">
        <v>232</v>
      </c>
      <c r="F3" s="19" t="s">
        <v>233</v>
      </c>
    </row>
    <row r="4" spans="1:8" ht="28.5" x14ac:dyDescent="0.25">
      <c r="A4" s="20" t="s">
        <v>49</v>
      </c>
      <c r="B4" s="20" t="s">
        <v>44</v>
      </c>
      <c r="C4" s="19" t="s">
        <v>137</v>
      </c>
      <c r="D4" s="19">
        <v>0.5</v>
      </c>
      <c r="E4" s="19" t="s">
        <v>237</v>
      </c>
      <c r="F4" s="19" t="s">
        <v>139</v>
      </c>
    </row>
    <row r="5" spans="1:8" ht="28.5" x14ac:dyDescent="0.25">
      <c r="A5" s="20" t="s">
        <v>49</v>
      </c>
      <c r="B5" s="20" t="s">
        <v>47</v>
      </c>
      <c r="C5" s="19" t="s">
        <v>140</v>
      </c>
      <c r="D5" s="19">
        <v>1</v>
      </c>
      <c r="E5" s="19" t="s">
        <v>234</v>
      </c>
      <c r="F5" s="19" t="s">
        <v>235</v>
      </c>
    </row>
    <row r="6" spans="1:8" ht="28.5" x14ac:dyDescent="0.25">
      <c r="A6" s="20" t="s">
        <v>49</v>
      </c>
      <c r="B6" s="20" t="s">
        <v>45</v>
      </c>
      <c r="C6" s="19" t="s">
        <v>143</v>
      </c>
      <c r="D6" s="19">
        <v>0</v>
      </c>
      <c r="E6" s="19" t="s">
        <v>218</v>
      </c>
      <c r="F6" s="19" t="s">
        <v>219</v>
      </c>
    </row>
    <row r="7" spans="1:8" ht="28.5" x14ac:dyDescent="0.25">
      <c r="A7" s="20" t="s">
        <v>49</v>
      </c>
      <c r="B7" s="20" t="s">
        <v>46</v>
      </c>
      <c r="C7" s="19" t="s">
        <v>146</v>
      </c>
      <c r="D7" s="19">
        <v>0.5</v>
      </c>
      <c r="E7" s="19" t="s">
        <v>238</v>
      </c>
      <c r="F7" s="19" t="s">
        <v>236</v>
      </c>
    </row>
    <row r="8" spans="1:8" x14ac:dyDescent="0.25">
      <c r="F8" s="21"/>
    </row>
    <row r="9" spans="1:8" x14ac:dyDescent="0.25">
      <c r="C9" s="16" t="s">
        <v>25</v>
      </c>
      <c r="D9" s="19">
        <f>SUM(D2:D7)</f>
        <v>4</v>
      </c>
      <c r="F9" s="21"/>
    </row>
    <row r="12" spans="1:8" x14ac:dyDescent="0.25">
      <c r="A12" s="23"/>
      <c r="B12" s="23"/>
      <c r="C12" s="23"/>
      <c r="F12" s="24"/>
    </row>
    <row r="13" spans="1:8"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87FC1-BE5C-4B97-BA6D-BD0329BE8872}">
  <dimension ref="A1:H33"/>
  <sheetViews>
    <sheetView workbookViewId="0">
      <selection activeCell="C1" sqref="C1:F1"/>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17.85546875" style="19" customWidth="1"/>
    <col min="6" max="6" width="13.28515625" style="19" customWidth="1"/>
    <col min="7" max="7" width="36.42578125" style="19" bestFit="1" customWidth="1"/>
    <col min="8" max="8" width="68.42578125" style="19" customWidth="1"/>
    <col min="9" max="16384" width="11.42578125" style="19"/>
  </cols>
  <sheetData>
    <row r="1" spans="1:8" x14ac:dyDescent="0.25">
      <c r="A1" s="17" t="s">
        <v>40</v>
      </c>
      <c r="B1" s="17" t="s">
        <v>41</v>
      </c>
      <c r="C1" s="17" t="s">
        <v>257</v>
      </c>
      <c r="D1" s="18" t="s">
        <v>258</v>
      </c>
      <c r="E1" s="18" t="s">
        <v>24</v>
      </c>
      <c r="F1" s="15" t="s">
        <v>50</v>
      </c>
      <c r="G1" s="17"/>
    </row>
    <row r="2" spans="1:8" ht="28.5" x14ac:dyDescent="0.25">
      <c r="A2" s="20" t="s">
        <v>49</v>
      </c>
      <c r="B2" s="20" t="s">
        <v>2</v>
      </c>
      <c r="C2" s="23" t="s">
        <v>130</v>
      </c>
      <c r="D2" s="19">
        <v>0</v>
      </c>
      <c r="E2" s="19" t="s">
        <v>245</v>
      </c>
      <c r="F2" s="19" t="s">
        <v>239</v>
      </c>
      <c r="H2" s="22"/>
    </row>
    <row r="3" spans="1:8" ht="28.5" x14ac:dyDescent="0.25">
      <c r="A3" s="20" t="s">
        <v>49</v>
      </c>
      <c r="B3" s="20" t="s">
        <v>43</v>
      </c>
      <c r="C3" s="19" t="s">
        <v>134</v>
      </c>
      <c r="D3" s="19">
        <v>1</v>
      </c>
      <c r="E3" s="19" t="s">
        <v>240</v>
      </c>
      <c r="F3" s="19" t="s">
        <v>241</v>
      </c>
    </row>
    <row r="4" spans="1:8" ht="28.5" x14ac:dyDescent="0.25">
      <c r="A4" s="20" t="s">
        <v>49</v>
      </c>
      <c r="B4" s="20" t="s">
        <v>44</v>
      </c>
      <c r="C4" s="19" t="s">
        <v>137</v>
      </c>
      <c r="D4" s="19">
        <v>1</v>
      </c>
      <c r="E4" s="19" t="s">
        <v>242</v>
      </c>
      <c r="F4" s="19" t="s">
        <v>243</v>
      </c>
    </row>
    <row r="5" spans="1:8" ht="28.5" x14ac:dyDescent="0.25">
      <c r="A5" s="20" t="s">
        <v>49</v>
      </c>
      <c r="B5" s="20" t="s">
        <v>47</v>
      </c>
      <c r="C5" s="19" t="s">
        <v>140</v>
      </c>
      <c r="D5" s="19">
        <v>0</v>
      </c>
      <c r="E5" s="19" t="s">
        <v>246</v>
      </c>
      <c r="F5" s="19" t="s">
        <v>239</v>
      </c>
    </row>
    <row r="6" spans="1:8" ht="28.5" x14ac:dyDescent="0.25">
      <c r="A6" s="20" t="s">
        <v>49</v>
      </c>
      <c r="B6" s="20" t="s">
        <v>45</v>
      </c>
      <c r="C6" s="19" t="s">
        <v>143</v>
      </c>
      <c r="D6" s="19">
        <v>0</v>
      </c>
      <c r="E6" s="19" t="s">
        <v>247</v>
      </c>
      <c r="F6" s="19" t="s">
        <v>239</v>
      </c>
    </row>
    <row r="7" spans="1:8" ht="28.5" x14ac:dyDescent="0.25">
      <c r="A7" s="20" t="s">
        <v>49</v>
      </c>
      <c r="B7" s="20" t="s">
        <v>46</v>
      </c>
      <c r="C7" s="19" t="s">
        <v>146</v>
      </c>
      <c r="D7" s="19">
        <v>0.5</v>
      </c>
      <c r="E7" s="19" t="s">
        <v>248</v>
      </c>
      <c r="F7" s="19" t="s">
        <v>244</v>
      </c>
    </row>
    <row r="8" spans="1:8" x14ac:dyDescent="0.25">
      <c r="F8" s="21"/>
    </row>
    <row r="9" spans="1:8" x14ac:dyDescent="0.25">
      <c r="C9" s="16" t="s">
        <v>25</v>
      </c>
      <c r="D9" s="19">
        <f>SUM(D2:D7)</f>
        <v>2.5</v>
      </c>
      <c r="F9" s="21"/>
    </row>
    <row r="12" spans="1:8" x14ac:dyDescent="0.25">
      <c r="A12" s="23"/>
      <c r="B12" s="23"/>
      <c r="C12" s="23"/>
      <c r="F12" s="24"/>
    </row>
    <row r="13" spans="1:8"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336B4-5A04-46CD-9736-114F7BA5FC82}">
  <dimension ref="A1:H33"/>
  <sheetViews>
    <sheetView tabSelected="1" workbookViewId="0">
      <selection activeCell="G3" sqref="G3"/>
    </sheetView>
  </sheetViews>
  <sheetFormatPr baseColWidth="10" defaultRowHeight="15" x14ac:dyDescent="0.25"/>
  <cols>
    <col min="1" max="1" width="20.5703125" style="19" bestFit="1" customWidth="1"/>
    <col min="2" max="2" width="14.5703125" style="19" bestFit="1" customWidth="1"/>
    <col min="3" max="3" width="25.7109375" style="19" bestFit="1" customWidth="1"/>
    <col min="4" max="4" width="18" style="19" bestFit="1" customWidth="1"/>
    <col min="5" max="5" width="17.85546875" style="19" customWidth="1"/>
    <col min="6" max="6" width="13.28515625" style="19" customWidth="1"/>
    <col min="7" max="7" width="36.42578125" style="19" bestFit="1" customWidth="1"/>
    <col min="8" max="8" width="68.42578125" style="19" customWidth="1"/>
    <col min="9" max="16384" width="11.42578125" style="19"/>
  </cols>
  <sheetData>
    <row r="1" spans="1:8" x14ac:dyDescent="0.25">
      <c r="A1" s="17" t="s">
        <v>40</v>
      </c>
      <c r="B1" s="17" t="s">
        <v>41</v>
      </c>
      <c r="C1" s="17" t="s">
        <v>257</v>
      </c>
      <c r="D1" s="18" t="s">
        <v>258</v>
      </c>
      <c r="E1" s="18" t="s">
        <v>24</v>
      </c>
      <c r="F1" s="15" t="s">
        <v>50</v>
      </c>
      <c r="G1" s="17"/>
    </row>
    <row r="2" spans="1:8" ht="28.5" x14ac:dyDescent="0.25">
      <c r="A2" s="20" t="s">
        <v>49</v>
      </c>
      <c r="B2" s="20" t="s">
        <v>2</v>
      </c>
      <c r="C2" s="23" t="s">
        <v>130</v>
      </c>
      <c r="D2" s="19">
        <v>1</v>
      </c>
      <c r="E2" s="19" t="s">
        <v>231</v>
      </c>
      <c r="F2" s="19" t="s">
        <v>200</v>
      </c>
      <c r="H2" s="22"/>
    </row>
    <row r="3" spans="1:8" ht="28.5" x14ac:dyDescent="0.25">
      <c r="A3" s="20" t="s">
        <v>49</v>
      </c>
      <c r="B3" s="20" t="s">
        <v>43</v>
      </c>
      <c r="C3" s="19" t="s">
        <v>134</v>
      </c>
      <c r="D3" s="19">
        <v>0.5</v>
      </c>
      <c r="E3" s="19" t="s">
        <v>249</v>
      </c>
      <c r="F3" s="19" t="s">
        <v>250</v>
      </c>
    </row>
    <row r="4" spans="1:8" ht="28.5" x14ac:dyDescent="0.25">
      <c r="A4" s="20" t="s">
        <v>49</v>
      </c>
      <c r="B4" s="20" t="s">
        <v>44</v>
      </c>
      <c r="C4" s="19" t="s">
        <v>137</v>
      </c>
      <c r="D4" s="19">
        <v>0.5</v>
      </c>
      <c r="E4" s="19" t="s">
        <v>251</v>
      </c>
      <c r="F4" s="19" t="s">
        <v>252</v>
      </c>
    </row>
    <row r="5" spans="1:8" ht="28.5" x14ac:dyDescent="0.25">
      <c r="A5" s="20" t="s">
        <v>49</v>
      </c>
      <c r="B5" s="20" t="s">
        <v>47</v>
      </c>
      <c r="C5" s="19" t="s">
        <v>140</v>
      </c>
      <c r="D5" s="19">
        <v>1</v>
      </c>
      <c r="E5" s="19" t="s">
        <v>225</v>
      </c>
      <c r="F5" s="19" t="s">
        <v>253</v>
      </c>
    </row>
    <row r="6" spans="1:8" ht="28.5" x14ac:dyDescent="0.25">
      <c r="A6" s="20" t="s">
        <v>49</v>
      </c>
      <c r="B6" s="20" t="s">
        <v>45</v>
      </c>
      <c r="C6" s="19" t="s">
        <v>143</v>
      </c>
      <c r="D6" s="19">
        <v>0</v>
      </c>
      <c r="E6" s="19" t="s">
        <v>254</v>
      </c>
      <c r="F6" s="19" t="s">
        <v>219</v>
      </c>
    </row>
    <row r="7" spans="1:8" ht="28.5" x14ac:dyDescent="0.25">
      <c r="A7" s="20" t="s">
        <v>49</v>
      </c>
      <c r="B7" s="20" t="s">
        <v>46</v>
      </c>
      <c r="C7" s="19" t="s">
        <v>146</v>
      </c>
      <c r="D7" s="19">
        <v>1</v>
      </c>
      <c r="E7" s="19" t="s">
        <v>255</v>
      </c>
      <c r="F7" s="19" t="s">
        <v>256</v>
      </c>
    </row>
    <row r="8" spans="1:8" x14ac:dyDescent="0.25">
      <c r="F8" s="21"/>
    </row>
    <row r="9" spans="1:8" x14ac:dyDescent="0.25">
      <c r="C9" s="16" t="s">
        <v>25</v>
      </c>
      <c r="D9" s="19">
        <f>SUM(D2:D7)</f>
        <v>4</v>
      </c>
      <c r="F9" s="21"/>
    </row>
    <row r="12" spans="1:8" x14ac:dyDescent="0.25">
      <c r="A12" s="23"/>
      <c r="B12" s="23"/>
      <c r="C12" s="23"/>
      <c r="F12" s="24"/>
    </row>
    <row r="13" spans="1:8" x14ac:dyDescent="0.25">
      <c r="A13" s="23"/>
      <c r="B13" s="23"/>
      <c r="C13" s="23"/>
      <c r="F13" s="24"/>
    </row>
    <row r="30" spans="6:6" x14ac:dyDescent="0.25">
      <c r="F30" s="21"/>
    </row>
    <row r="31" spans="6:6" x14ac:dyDescent="0.25">
      <c r="F31" s="21"/>
    </row>
    <row r="32" spans="6:6" x14ac:dyDescent="0.25">
      <c r="F32" s="21"/>
    </row>
    <row r="33" spans="6:6" x14ac:dyDescent="0.25">
      <c r="F33"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Matriz comparativa</vt:lpstr>
      <vt:lpstr>Hoja1</vt:lpstr>
      <vt:lpstr>Check-list</vt:lpstr>
      <vt:lpstr>1</vt:lpstr>
      <vt:lpstr>2</vt:lpstr>
      <vt:lpstr>3</vt:lpstr>
      <vt:lpstr>4</vt:lpstr>
      <vt:lpstr>5</vt:lpstr>
      <vt:lpstr>6</vt:lpstr>
      <vt:lpstr>7</vt:lpstr>
      <vt:lpstr>8</vt:lpstr>
      <vt:lpstr>9</vt:lpstr>
      <vt:lpstr>10</vt:lpstr>
      <vt:lpstr>11</vt:lpstr>
      <vt:lpstr>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Prestamo Administrador</dc:creator>
  <cp:lastModifiedBy>Luis Javier Manobanda Tutasig</cp:lastModifiedBy>
  <dcterms:created xsi:type="dcterms:W3CDTF">2015-06-05T18:17:20Z</dcterms:created>
  <dcterms:modified xsi:type="dcterms:W3CDTF">2026-06-04T14:51:13Z</dcterms:modified>
</cp:coreProperties>
</file>